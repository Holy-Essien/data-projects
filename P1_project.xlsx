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C:\Users\user\OneDrive\Documents\"/>
    </mc:Choice>
  </mc:AlternateContent>
  <xr:revisionPtr revIDLastSave="0" documentId="13_ncr:1_{420CAED7-C5A9-4D71-B34F-99A2F089FB92}" xr6:coauthVersionLast="47" xr6:coauthVersionMax="47" xr10:uidLastSave="{00000000-0000-0000-0000-000000000000}"/>
  <bookViews>
    <workbookView xWindow="-110" yWindow="-110" windowWidth="19420" windowHeight="10300" tabRatio="685" xr2:uid="{AE916A59-8DE6-46BD-9683-73AF7C780730}"/>
  </bookViews>
  <sheets>
    <sheet name="Raw_data" sheetId="1" r:id="rId1"/>
    <sheet name="Pivot_table" sheetId="3" r:id="rId2"/>
    <sheet name="Dashboard" sheetId="6" r:id="rId3"/>
  </sheets>
  <definedNames>
    <definedName name="Crop_Type">Raw_data!$H$3:$H$273</definedName>
    <definedName name="Crop_Types">Dashboard!#REF!</definedName>
    <definedName name="Slicer_Crop_Type">#N/A</definedName>
    <definedName name="Slicer_Value">#N/A</definedName>
    <definedName name="Slicer_Year">#N/A</definedName>
    <definedName name="Year">Raw_data!$J$3:$J$273</definedName>
    <definedName name="Yield_Value">Raw_data!$L$3:$L$273</definedName>
  </definedNames>
  <calcPr calcId="191029"/>
  <pivotCaches>
    <pivotCache cacheId="4"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6" l="1"/>
  <c r="C3" i="6"/>
  <c r="C4" i="6"/>
  <c r="C5" i="6"/>
  <c r="C6" i="6"/>
  <c r="C7" i="6"/>
  <c r="C8" i="6"/>
  <c r="B8" i="6"/>
  <c r="B7" i="6"/>
  <c r="B6" i="6"/>
  <c r="B5" i="6"/>
  <c r="B2" i="6"/>
  <c r="B3" i="6"/>
  <c r="B4" i="6"/>
  <c r="D2" i="6" l="1"/>
  <c r="E2" i="6"/>
</calcChain>
</file>

<file path=xl/sharedStrings.xml><?xml version="1.0" encoding="utf-8"?>
<sst xmlns="http://schemas.openxmlformats.org/spreadsheetml/2006/main" count="2233" uniqueCount="48">
  <si>
    <t>Domain Code</t>
  </si>
  <si>
    <t>Domain</t>
  </si>
  <si>
    <t>Area Code (M49)</t>
  </si>
  <si>
    <t>Element Code</t>
  </si>
  <si>
    <t>Element</t>
  </si>
  <si>
    <t>Year Code</t>
  </si>
  <si>
    <t>Year</t>
  </si>
  <si>
    <t>Unit</t>
  </si>
  <si>
    <t>Value</t>
  </si>
  <si>
    <t>Flag</t>
  </si>
  <si>
    <t>Flag Description</t>
  </si>
  <si>
    <t>QCL</t>
  </si>
  <si>
    <t>Crops and livestock products</t>
  </si>
  <si>
    <t>Nigeria</t>
  </si>
  <si>
    <t>Area harvested</t>
  </si>
  <si>
    <t>Cassava, fresh</t>
  </si>
  <si>
    <t>ha</t>
  </si>
  <si>
    <t>A</t>
  </si>
  <si>
    <t>Official figure</t>
  </si>
  <si>
    <t>Yield</t>
  </si>
  <si>
    <t>kg/ha</t>
  </si>
  <si>
    <t>Production</t>
  </si>
  <si>
    <t>t</t>
  </si>
  <si>
    <t>I</t>
  </si>
  <si>
    <t>Value imputed by a receiving agency</t>
  </si>
  <si>
    <t>E</t>
  </si>
  <si>
    <t>Estimated value</t>
  </si>
  <si>
    <t>Groundnuts, excluding shelled</t>
  </si>
  <si>
    <t>X</t>
  </si>
  <si>
    <t>Figure from external organization</t>
  </si>
  <si>
    <t>Maize (corn)</t>
  </si>
  <si>
    <t>Millet</t>
  </si>
  <si>
    <t>Rice</t>
  </si>
  <si>
    <t>Sorghum</t>
  </si>
  <si>
    <t>Yams</t>
  </si>
  <si>
    <t>Country</t>
  </si>
  <si>
    <t>Row Labels</t>
  </si>
  <si>
    <t>Grand Total</t>
  </si>
  <si>
    <t>Crop Type</t>
  </si>
  <si>
    <t>Crop Code (CPC)</t>
  </si>
  <si>
    <t>Average of Value</t>
  </si>
  <si>
    <t>Trends</t>
  </si>
  <si>
    <t>Column Labels</t>
  </si>
  <si>
    <t>Total Yield Per Crop</t>
  </si>
  <si>
    <t>Average Yield per Crop</t>
  </si>
  <si>
    <t>Highest Yield</t>
  </si>
  <si>
    <t xml:space="preserve"> Lowest Yield</t>
  </si>
  <si>
    <t>Crop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</si>
</sst>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4"/>
      <color theme="3"/>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16" fillId="0" borderId="0" xfId="0" applyFont="1"/>
    <xf numFmtId="0" fontId="0" fillId="0" borderId="0" xfId="0" pivotButton="1"/>
    <xf numFmtId="0" fontId="0" fillId="0" borderId="0" xfId="0" applyAlignment="1">
      <alignment horizontal="left"/>
    </xf>
    <xf numFmtId="2" fontId="0" fillId="0" borderId="0" xfId="0" applyNumberFormat="1"/>
    <xf numFmtId="0" fontId="18" fillId="0" borderId="1" xfId="2" applyNumberFormat="1" applyFont="1"/>
    <xf numFmtId="0" fontId="1" fillId="33" borderId="0" xfId="19" applyNumberForma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2" formatCode="0.00"/>
    </dxf>
    <dxf>
      <font>
        <b/>
        <i val="0"/>
        <strike val="0"/>
        <condense val="0"/>
        <extend val="0"/>
        <outline val="0"/>
        <shadow val="0"/>
        <u val="none"/>
        <vertAlign val="baseline"/>
        <sz val="11"/>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[P1_project.xlsx]Pivot_table!PivotTable12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Crop Yield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Pivot_table!$B$3</c:f>
              <c:strCache>
                <c:ptCount val="1"/>
                <c:pt idx="0">
                  <c:v>Total</c:v>
                </c:pt>
              </c:strCache>
            </c:strRef>
          </c:tx>
          <c:spPr>
            <a:solidFill>
              <a:schemeClr val="accent1"/>
            </a:solidFill>
            <a:ln>
              <a:noFill/>
            </a:ln>
            <a:effectLst/>
          </c:spPr>
          <c:invertIfNegative val="0"/>
          <c:cat>
            <c:strRef>
              <c:f>Pivot_table!$A$4:$A$11</c:f>
              <c:strCache>
                <c:ptCount val="7"/>
                <c:pt idx="0">
                  <c:v>Cassava, fresh</c:v>
                </c:pt>
                <c:pt idx="1">
                  <c:v>Groundnuts, excluding shelled</c:v>
                </c:pt>
                <c:pt idx="2">
                  <c:v>Maize (corn)</c:v>
                </c:pt>
                <c:pt idx="3">
                  <c:v>Millet</c:v>
                </c:pt>
                <c:pt idx="4">
                  <c:v>Rice</c:v>
                </c:pt>
                <c:pt idx="5">
                  <c:v>Sorghum</c:v>
                </c:pt>
                <c:pt idx="6">
                  <c:v>Yams</c:v>
                </c:pt>
              </c:strCache>
            </c:strRef>
          </c:cat>
          <c:val>
            <c:numRef>
              <c:f>Pivot_table!$B$4:$B$11</c:f>
              <c:numCache>
                <c:formatCode>General</c:formatCode>
                <c:ptCount val="7"/>
                <c:pt idx="0">
                  <c:v>20866996.034871798</c:v>
                </c:pt>
                <c:pt idx="1">
                  <c:v>2340760.87974359</c:v>
                </c:pt>
                <c:pt idx="2">
                  <c:v>5474646.2128205122</c:v>
                </c:pt>
                <c:pt idx="3">
                  <c:v>1301629.2282051281</c:v>
                </c:pt>
                <c:pt idx="4">
                  <c:v>3546756.8666666672</c:v>
                </c:pt>
                <c:pt idx="5">
                  <c:v>4037843.1743589737</c:v>
                </c:pt>
                <c:pt idx="6">
                  <c:v>17512891.918461535</c:v>
                </c:pt>
              </c:numCache>
            </c:numRef>
          </c:val>
          <c:extLst>
            <c:ext xmlns:c16="http://schemas.microsoft.com/office/drawing/2014/chart" uri="{C3380CC4-5D6E-409C-BE32-E72D297353CC}">
              <c16:uniqueId val="{00000000-D8F8-4259-8F65-9E8AED150E85}"/>
            </c:ext>
          </c:extLst>
        </c:ser>
        <c:dLbls>
          <c:showLegendKey val="0"/>
          <c:showVal val="0"/>
          <c:showCatName val="0"/>
          <c:showSerName val="0"/>
          <c:showPercent val="0"/>
          <c:showBubbleSize val="0"/>
        </c:dLbls>
        <c:gapWidth val="182"/>
        <c:axId val="2076547696"/>
        <c:axId val="2076551056"/>
      </c:barChart>
      <c:catAx>
        <c:axId val="20765476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551056"/>
        <c:crosses val="autoZero"/>
        <c:auto val="1"/>
        <c:lblAlgn val="ctr"/>
        <c:lblOffset val="100"/>
        <c:noMultiLvlLbl val="0"/>
      </c:catAx>
      <c:valAx>
        <c:axId val="20765510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547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[P1_project.xlsx]Pivot_table!PivotTable15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Yield</a:t>
            </a:r>
            <a:r>
              <a:rPr lang="en-US" baseline="0"/>
              <a:t> Trends in 10 Years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Pivot_table!$B$19:$B$20</c:f>
              <c:strCache>
                <c:ptCount val="1"/>
                <c:pt idx="0">
                  <c:v>Cassava, fresh</c:v>
                </c:pt>
              </c:strCache>
            </c:strRef>
          </c:tx>
          <c:spPr>
            <a:ln w="28575" cap="rnd">
              <a:solidFill>
                <a:schemeClr val="accent1"/>
              </a:solidFill>
              <a:round/>
            </a:ln>
            <a:effectLst/>
          </c:spPr>
          <c:marker>
            <c:symbol val="none"/>
          </c:marker>
          <c:cat>
            <c:strRef>
              <c:f>Pivot_table!$A$21:$A$34</c:f>
              <c:strCache>
                <c:ptCount val="13"/>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strCache>
            </c:strRef>
          </c:cat>
          <c:val>
            <c:numRef>
              <c:f>Pivot_table!$B$21:$B$34</c:f>
              <c:numCache>
                <c:formatCode>General</c:formatCode>
                <c:ptCount val="13"/>
                <c:pt idx="0">
                  <c:v>15342431.833333334</c:v>
                </c:pt>
                <c:pt idx="1">
                  <c:v>16773874.933333332</c:v>
                </c:pt>
                <c:pt idx="2">
                  <c:v>19120082.166666668</c:v>
                </c:pt>
                <c:pt idx="3">
                  <c:v>18051700.766666666</c:v>
                </c:pt>
                <c:pt idx="4">
                  <c:v>20476218.466666665</c:v>
                </c:pt>
                <c:pt idx="5">
                  <c:v>21770985.300000001</c:v>
                </c:pt>
                <c:pt idx="6">
                  <c:v>22402645.433333334</c:v>
                </c:pt>
                <c:pt idx="7">
                  <c:v>22706874.233333334</c:v>
                </c:pt>
                <c:pt idx="8">
                  <c:v>24103217.933333334</c:v>
                </c:pt>
                <c:pt idx="9">
                  <c:v>22250545.699999999</c:v>
                </c:pt>
                <c:pt idx="10">
                  <c:v>21728539.833333332</c:v>
                </c:pt>
                <c:pt idx="11">
                  <c:v>22740888.599999998</c:v>
                </c:pt>
                <c:pt idx="12">
                  <c:v>23802943.253333334</c:v>
                </c:pt>
              </c:numCache>
            </c:numRef>
          </c:val>
          <c:smooth val="0"/>
          <c:extLst>
            <c:ext xmlns:c16="http://schemas.microsoft.com/office/drawing/2014/chart" uri="{C3380CC4-5D6E-409C-BE32-E72D297353CC}">
              <c16:uniqueId val="{00000000-C579-4C28-99CA-74A92E877802}"/>
            </c:ext>
          </c:extLst>
        </c:ser>
        <c:ser>
          <c:idx val="1"/>
          <c:order val="1"/>
          <c:tx>
            <c:strRef>
              <c:f>Pivot_table!$C$19:$C$20</c:f>
              <c:strCache>
                <c:ptCount val="1"/>
                <c:pt idx="0">
                  <c:v>Groundnuts, excluding shelled</c:v>
                </c:pt>
              </c:strCache>
            </c:strRef>
          </c:tx>
          <c:spPr>
            <a:ln w="28575" cap="rnd">
              <a:solidFill>
                <a:schemeClr val="accent2"/>
              </a:solidFill>
              <a:round/>
            </a:ln>
            <a:effectLst/>
          </c:spPr>
          <c:marker>
            <c:symbol val="none"/>
          </c:marker>
          <c:cat>
            <c:strRef>
              <c:f>Pivot_table!$A$21:$A$34</c:f>
              <c:strCache>
                <c:ptCount val="13"/>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strCache>
            </c:strRef>
          </c:cat>
          <c:val>
            <c:numRef>
              <c:f>Pivot_table!$C$21:$C$34</c:f>
              <c:numCache>
                <c:formatCode>General</c:formatCode>
                <c:ptCount val="13"/>
                <c:pt idx="0">
                  <c:v>2196594.0333333332</c:v>
                </c:pt>
                <c:pt idx="1">
                  <c:v>1772521.9000000001</c:v>
                </c:pt>
                <c:pt idx="2">
                  <c:v>1991515.2666666666</c:v>
                </c:pt>
                <c:pt idx="3">
                  <c:v>1736045.1666666667</c:v>
                </c:pt>
                <c:pt idx="4">
                  <c:v>2066715.0333333332</c:v>
                </c:pt>
                <c:pt idx="5">
                  <c:v>2090146.5333333332</c:v>
                </c:pt>
                <c:pt idx="6">
                  <c:v>2606823.5666666669</c:v>
                </c:pt>
                <c:pt idx="7">
                  <c:v>2706519.0333333332</c:v>
                </c:pt>
                <c:pt idx="8">
                  <c:v>2787066.4666666668</c:v>
                </c:pt>
                <c:pt idx="9">
                  <c:v>2653260.9366666665</c:v>
                </c:pt>
                <c:pt idx="10">
                  <c:v>2617306.1999999997</c:v>
                </c:pt>
                <c:pt idx="11">
                  <c:v>2643623.9666666668</c:v>
                </c:pt>
                <c:pt idx="12">
                  <c:v>2561753.3333333335</c:v>
                </c:pt>
              </c:numCache>
            </c:numRef>
          </c:val>
          <c:smooth val="0"/>
          <c:extLst>
            <c:ext xmlns:c16="http://schemas.microsoft.com/office/drawing/2014/chart" uri="{C3380CC4-5D6E-409C-BE32-E72D297353CC}">
              <c16:uniqueId val="{00000018-C579-4C28-99CA-74A92E877802}"/>
            </c:ext>
          </c:extLst>
        </c:ser>
        <c:ser>
          <c:idx val="2"/>
          <c:order val="2"/>
          <c:tx>
            <c:strRef>
              <c:f>Pivot_table!$D$19:$D$20</c:f>
              <c:strCache>
                <c:ptCount val="1"/>
                <c:pt idx="0">
                  <c:v>Maize (corn)</c:v>
                </c:pt>
              </c:strCache>
            </c:strRef>
          </c:tx>
          <c:spPr>
            <a:ln w="28575" cap="rnd">
              <a:solidFill>
                <a:schemeClr val="accent3"/>
              </a:solidFill>
              <a:round/>
            </a:ln>
            <a:effectLst/>
          </c:spPr>
          <c:marker>
            <c:symbol val="none"/>
          </c:marker>
          <c:cat>
            <c:strRef>
              <c:f>Pivot_table!$A$21:$A$34</c:f>
              <c:strCache>
                <c:ptCount val="13"/>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strCache>
            </c:strRef>
          </c:cat>
          <c:val>
            <c:numRef>
              <c:f>Pivot_table!$D$21:$D$34</c:f>
              <c:numCache>
                <c:formatCode>General</c:formatCode>
                <c:ptCount val="13"/>
                <c:pt idx="0">
                  <c:v>3942670.0666666664</c:v>
                </c:pt>
                <c:pt idx="1">
                  <c:v>4778874.3666666662</c:v>
                </c:pt>
                <c:pt idx="2">
                  <c:v>4815903.9333333336</c:v>
                </c:pt>
                <c:pt idx="3">
                  <c:v>4728943.8666666662</c:v>
                </c:pt>
                <c:pt idx="4">
                  <c:v>5712950.3999999994</c:v>
                </c:pt>
                <c:pt idx="5">
                  <c:v>5030756.2666666666</c:v>
                </c:pt>
                <c:pt idx="6">
                  <c:v>5479676.5666666664</c:v>
                </c:pt>
                <c:pt idx="7">
                  <c:v>5674419.7000000002</c:v>
                </c:pt>
                <c:pt idx="8">
                  <c:v>5825667.8666666672</c:v>
                </c:pt>
                <c:pt idx="9">
                  <c:v>6461575.3999999994</c:v>
                </c:pt>
                <c:pt idx="10">
                  <c:v>6151316.8666666672</c:v>
                </c:pt>
                <c:pt idx="11">
                  <c:v>6317261.2666666666</c:v>
                </c:pt>
                <c:pt idx="12">
                  <c:v>6250384.2000000002</c:v>
                </c:pt>
              </c:numCache>
            </c:numRef>
          </c:val>
          <c:smooth val="0"/>
          <c:extLst>
            <c:ext xmlns:c16="http://schemas.microsoft.com/office/drawing/2014/chart" uri="{C3380CC4-5D6E-409C-BE32-E72D297353CC}">
              <c16:uniqueId val="{00000019-C579-4C28-99CA-74A92E877802}"/>
            </c:ext>
          </c:extLst>
        </c:ser>
        <c:ser>
          <c:idx val="3"/>
          <c:order val="3"/>
          <c:tx>
            <c:strRef>
              <c:f>Pivot_table!$E$19:$E$20</c:f>
              <c:strCache>
                <c:ptCount val="1"/>
                <c:pt idx="0">
                  <c:v>Millet</c:v>
                </c:pt>
              </c:strCache>
            </c:strRef>
          </c:tx>
          <c:spPr>
            <a:ln w="28575" cap="rnd">
              <a:solidFill>
                <a:schemeClr val="accent4"/>
              </a:solidFill>
              <a:round/>
            </a:ln>
            <a:effectLst/>
          </c:spPr>
          <c:marker>
            <c:symbol val="none"/>
          </c:marker>
          <c:cat>
            <c:strRef>
              <c:f>Pivot_table!$A$21:$A$34</c:f>
              <c:strCache>
                <c:ptCount val="13"/>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strCache>
            </c:strRef>
          </c:cat>
          <c:val>
            <c:numRef>
              <c:f>Pivot_table!$E$21:$E$34</c:f>
              <c:numCache>
                <c:formatCode>General</c:formatCode>
                <c:ptCount val="13"/>
                <c:pt idx="0">
                  <c:v>3178584.9333333336</c:v>
                </c:pt>
                <c:pt idx="1">
                  <c:v>1366303.2333333334</c:v>
                </c:pt>
                <c:pt idx="2">
                  <c:v>869954.7333333334</c:v>
                </c:pt>
                <c:pt idx="3">
                  <c:v>798457.46666666667</c:v>
                </c:pt>
                <c:pt idx="4">
                  <c:v>1140590.8666666667</c:v>
                </c:pt>
                <c:pt idx="5">
                  <c:v>1183883.4333333333</c:v>
                </c:pt>
                <c:pt idx="6">
                  <c:v>1075301.9333333333</c:v>
                </c:pt>
                <c:pt idx="7">
                  <c:v>1109722.6666666667</c:v>
                </c:pt>
                <c:pt idx="8">
                  <c:v>1204917.8666666667</c:v>
                </c:pt>
                <c:pt idx="9">
                  <c:v>1224658.8</c:v>
                </c:pt>
                <c:pt idx="10">
                  <c:v>1222930.4000000001</c:v>
                </c:pt>
                <c:pt idx="11">
                  <c:v>1231810.0999999999</c:v>
                </c:pt>
                <c:pt idx="12">
                  <c:v>1314063.5333333334</c:v>
                </c:pt>
              </c:numCache>
            </c:numRef>
          </c:val>
          <c:smooth val="0"/>
          <c:extLst>
            <c:ext xmlns:c16="http://schemas.microsoft.com/office/drawing/2014/chart" uri="{C3380CC4-5D6E-409C-BE32-E72D297353CC}">
              <c16:uniqueId val="{0000001A-C579-4C28-99CA-74A92E877802}"/>
            </c:ext>
          </c:extLst>
        </c:ser>
        <c:ser>
          <c:idx val="4"/>
          <c:order val="4"/>
          <c:tx>
            <c:strRef>
              <c:f>Pivot_table!$F$19:$F$20</c:f>
              <c:strCache>
                <c:ptCount val="1"/>
                <c:pt idx="0">
                  <c:v>Rice</c:v>
                </c:pt>
              </c:strCache>
            </c:strRef>
          </c:tx>
          <c:spPr>
            <a:ln w="28575" cap="rnd">
              <a:solidFill>
                <a:schemeClr val="accent5"/>
              </a:solidFill>
              <a:round/>
            </a:ln>
            <a:effectLst/>
          </c:spPr>
          <c:marker>
            <c:symbol val="none"/>
          </c:marker>
          <c:cat>
            <c:strRef>
              <c:f>Pivot_table!$A$21:$A$34</c:f>
              <c:strCache>
                <c:ptCount val="13"/>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strCache>
            </c:strRef>
          </c:cat>
          <c:val>
            <c:numRef>
              <c:f>Pivot_table!$F$21:$F$34</c:f>
              <c:numCache>
                <c:formatCode>General</c:formatCode>
                <c:ptCount val="13"/>
                <c:pt idx="0">
                  <c:v>2302329.5333333332</c:v>
                </c:pt>
                <c:pt idx="1">
                  <c:v>2294685.5</c:v>
                </c:pt>
                <c:pt idx="2">
                  <c:v>2766214.0333333332</c:v>
                </c:pt>
                <c:pt idx="3">
                  <c:v>2917328.1666666665</c:v>
                </c:pt>
                <c:pt idx="4">
                  <c:v>3262686.9666666668</c:v>
                </c:pt>
                <c:pt idx="5">
                  <c:v>3742224.7333333329</c:v>
                </c:pt>
                <c:pt idx="6">
                  <c:v>3904367.9</c:v>
                </c:pt>
                <c:pt idx="7">
                  <c:v>3867393.6666666665</c:v>
                </c:pt>
                <c:pt idx="8">
                  <c:v>4156955.6666666665</c:v>
                </c:pt>
                <c:pt idx="9">
                  <c:v>4188074.6999999997</c:v>
                </c:pt>
                <c:pt idx="10">
                  <c:v>4122949.3000000003</c:v>
                </c:pt>
                <c:pt idx="11">
                  <c:v>4221343.666666667</c:v>
                </c:pt>
                <c:pt idx="12">
                  <c:v>4361285.4333333336</c:v>
                </c:pt>
              </c:numCache>
            </c:numRef>
          </c:val>
          <c:smooth val="0"/>
          <c:extLst>
            <c:ext xmlns:c16="http://schemas.microsoft.com/office/drawing/2014/chart" uri="{C3380CC4-5D6E-409C-BE32-E72D297353CC}">
              <c16:uniqueId val="{0000001B-C579-4C28-99CA-74A92E877802}"/>
            </c:ext>
          </c:extLst>
        </c:ser>
        <c:ser>
          <c:idx val="5"/>
          <c:order val="5"/>
          <c:tx>
            <c:strRef>
              <c:f>Pivot_table!$G$19:$G$20</c:f>
              <c:strCache>
                <c:ptCount val="1"/>
                <c:pt idx="0">
                  <c:v>Sorghum</c:v>
                </c:pt>
              </c:strCache>
            </c:strRef>
          </c:tx>
          <c:spPr>
            <a:ln w="28575" cap="rnd">
              <a:solidFill>
                <a:schemeClr val="accent6"/>
              </a:solidFill>
              <a:round/>
            </a:ln>
            <a:effectLst/>
          </c:spPr>
          <c:marker>
            <c:symbol val="none"/>
          </c:marker>
          <c:cat>
            <c:strRef>
              <c:f>Pivot_table!$A$21:$A$34</c:f>
              <c:strCache>
                <c:ptCount val="13"/>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strCache>
            </c:strRef>
          </c:cat>
          <c:val>
            <c:numRef>
              <c:f>Pivot_table!$G$21:$G$34</c:f>
              <c:numCache>
                <c:formatCode>General</c:formatCode>
                <c:ptCount val="13"/>
                <c:pt idx="0">
                  <c:v>4034179.9</c:v>
                </c:pt>
                <c:pt idx="1">
                  <c:v>3451077.5333333332</c:v>
                </c:pt>
                <c:pt idx="2">
                  <c:v>3646075.1666666665</c:v>
                </c:pt>
                <c:pt idx="3">
                  <c:v>3583480.9</c:v>
                </c:pt>
                <c:pt idx="4">
                  <c:v>4195553.7</c:v>
                </c:pt>
                <c:pt idx="5">
                  <c:v>4301782.166666667</c:v>
                </c:pt>
                <c:pt idx="6">
                  <c:v>4343155.6333333338</c:v>
                </c:pt>
                <c:pt idx="7">
                  <c:v>4253397.4333333336</c:v>
                </c:pt>
                <c:pt idx="8">
                  <c:v>4143369.0333333332</c:v>
                </c:pt>
                <c:pt idx="9">
                  <c:v>4021078.3000000003</c:v>
                </c:pt>
                <c:pt idx="10">
                  <c:v>4130445.4666666668</c:v>
                </c:pt>
                <c:pt idx="11">
                  <c:v>4219178</c:v>
                </c:pt>
                <c:pt idx="12">
                  <c:v>4169188.0333333332</c:v>
                </c:pt>
              </c:numCache>
            </c:numRef>
          </c:val>
          <c:smooth val="0"/>
          <c:extLst>
            <c:ext xmlns:c16="http://schemas.microsoft.com/office/drawing/2014/chart" uri="{C3380CC4-5D6E-409C-BE32-E72D297353CC}">
              <c16:uniqueId val="{0000001C-C579-4C28-99CA-74A92E877802}"/>
            </c:ext>
          </c:extLst>
        </c:ser>
        <c:ser>
          <c:idx val="6"/>
          <c:order val="6"/>
          <c:tx>
            <c:strRef>
              <c:f>Pivot_table!$H$19:$H$20</c:f>
              <c:strCache>
                <c:ptCount val="1"/>
                <c:pt idx="0">
                  <c:v>Yams</c:v>
                </c:pt>
              </c:strCache>
            </c:strRef>
          </c:tx>
          <c:spPr>
            <a:ln w="28575" cap="rnd">
              <a:solidFill>
                <a:schemeClr val="accent1">
                  <a:lumMod val="60000"/>
                </a:schemeClr>
              </a:solidFill>
              <a:round/>
            </a:ln>
            <a:effectLst/>
          </c:spPr>
          <c:marker>
            <c:symbol val="none"/>
          </c:marker>
          <c:cat>
            <c:strRef>
              <c:f>Pivot_table!$A$21:$A$34</c:f>
              <c:strCache>
                <c:ptCount val="13"/>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strCache>
            </c:strRef>
          </c:cat>
          <c:val>
            <c:numRef>
              <c:f>Pivot_table!$H$21:$H$34</c:f>
              <c:numCache>
                <c:formatCode>General</c:formatCode>
                <c:ptCount val="13"/>
                <c:pt idx="0">
                  <c:v>13403393.633333333</c:v>
                </c:pt>
                <c:pt idx="1">
                  <c:v>12538977.233333334</c:v>
                </c:pt>
                <c:pt idx="2">
                  <c:v>12271349.1</c:v>
                </c:pt>
                <c:pt idx="3">
                  <c:v>13571240.033333333</c:v>
                </c:pt>
                <c:pt idx="4">
                  <c:v>16350621.933333332</c:v>
                </c:pt>
                <c:pt idx="5">
                  <c:v>16500650.9</c:v>
                </c:pt>
                <c:pt idx="6">
                  <c:v>18113087.966666665</c:v>
                </c:pt>
                <c:pt idx="7">
                  <c:v>18268194.533333335</c:v>
                </c:pt>
                <c:pt idx="8">
                  <c:v>20267365.966666665</c:v>
                </c:pt>
                <c:pt idx="9">
                  <c:v>19900265.599999998</c:v>
                </c:pt>
                <c:pt idx="10">
                  <c:v>21160504.900000002</c:v>
                </c:pt>
                <c:pt idx="11">
                  <c:v>22463388.833333332</c:v>
                </c:pt>
                <c:pt idx="12">
                  <c:v>22858554.306666669</c:v>
                </c:pt>
              </c:numCache>
            </c:numRef>
          </c:val>
          <c:smooth val="0"/>
          <c:extLst>
            <c:ext xmlns:c16="http://schemas.microsoft.com/office/drawing/2014/chart" uri="{C3380CC4-5D6E-409C-BE32-E72D297353CC}">
              <c16:uniqueId val="{0000001D-C579-4C28-99CA-74A92E877802}"/>
            </c:ext>
          </c:extLst>
        </c:ser>
        <c:dLbls>
          <c:showLegendKey val="0"/>
          <c:showVal val="0"/>
          <c:showCatName val="0"/>
          <c:showSerName val="0"/>
          <c:showPercent val="0"/>
          <c:showBubbleSize val="0"/>
        </c:dLbls>
        <c:smooth val="0"/>
        <c:axId val="1064313951"/>
        <c:axId val="1064302431"/>
      </c:lineChart>
      <c:catAx>
        <c:axId val="1064313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302431"/>
        <c:crosses val="autoZero"/>
        <c:auto val="1"/>
        <c:lblAlgn val="ctr"/>
        <c:lblOffset val="100"/>
        <c:noMultiLvlLbl val="0"/>
      </c:catAx>
      <c:valAx>
        <c:axId val="10643024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Yield</a:t>
                </a:r>
                <a:r>
                  <a:rPr lang="en-US" baseline="0"/>
                  <a:t> Value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313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[P1_project.xlsx]Pivot_table!PivotTable15</c:name>
    <c:fmtId val="1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Pivot_table!$B$19:$B$20</c:f>
              <c:strCache>
                <c:ptCount val="1"/>
                <c:pt idx="0">
                  <c:v>Cassava, fresh</c:v>
                </c:pt>
              </c:strCache>
            </c:strRef>
          </c:tx>
          <c:spPr>
            <a:solidFill>
              <a:schemeClr val="accent1"/>
            </a:solidFill>
            <a:ln>
              <a:noFill/>
            </a:ln>
            <a:effectLst/>
          </c:spPr>
          <c:invertIfNegative val="0"/>
          <c:cat>
            <c:strRef>
              <c:f>Pivot_table!$A$21:$A$34</c:f>
              <c:strCache>
                <c:ptCount val="13"/>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strCache>
            </c:strRef>
          </c:cat>
          <c:val>
            <c:numRef>
              <c:f>Pivot_table!$B$21:$B$34</c:f>
              <c:numCache>
                <c:formatCode>General</c:formatCode>
                <c:ptCount val="13"/>
                <c:pt idx="0">
                  <c:v>15342431.833333334</c:v>
                </c:pt>
                <c:pt idx="1">
                  <c:v>16773874.933333332</c:v>
                </c:pt>
                <c:pt idx="2">
                  <c:v>19120082.166666668</c:v>
                </c:pt>
                <c:pt idx="3">
                  <c:v>18051700.766666666</c:v>
                </c:pt>
                <c:pt idx="4">
                  <c:v>20476218.466666665</c:v>
                </c:pt>
                <c:pt idx="5">
                  <c:v>21770985.300000001</c:v>
                </c:pt>
                <c:pt idx="6">
                  <c:v>22402645.433333334</c:v>
                </c:pt>
                <c:pt idx="7">
                  <c:v>22706874.233333334</c:v>
                </c:pt>
                <c:pt idx="8">
                  <c:v>24103217.933333334</c:v>
                </c:pt>
                <c:pt idx="9">
                  <c:v>22250545.699999999</c:v>
                </c:pt>
                <c:pt idx="10">
                  <c:v>21728539.833333332</c:v>
                </c:pt>
                <c:pt idx="11">
                  <c:v>22740888.599999998</c:v>
                </c:pt>
                <c:pt idx="12">
                  <c:v>23802943.253333334</c:v>
                </c:pt>
              </c:numCache>
            </c:numRef>
          </c:val>
          <c:extLst>
            <c:ext xmlns:c16="http://schemas.microsoft.com/office/drawing/2014/chart" uri="{C3380CC4-5D6E-409C-BE32-E72D297353CC}">
              <c16:uniqueId val="{00000000-5734-4FE5-A213-17F490533B41}"/>
            </c:ext>
          </c:extLst>
        </c:ser>
        <c:ser>
          <c:idx val="1"/>
          <c:order val="1"/>
          <c:tx>
            <c:strRef>
              <c:f>Pivot_table!$C$19:$C$20</c:f>
              <c:strCache>
                <c:ptCount val="1"/>
                <c:pt idx="0">
                  <c:v>Groundnuts, excluding shelled</c:v>
                </c:pt>
              </c:strCache>
            </c:strRef>
          </c:tx>
          <c:spPr>
            <a:solidFill>
              <a:schemeClr val="accent2"/>
            </a:solidFill>
            <a:ln>
              <a:noFill/>
            </a:ln>
            <a:effectLst/>
          </c:spPr>
          <c:invertIfNegative val="0"/>
          <c:cat>
            <c:strRef>
              <c:f>Pivot_table!$A$21:$A$34</c:f>
              <c:strCache>
                <c:ptCount val="13"/>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strCache>
            </c:strRef>
          </c:cat>
          <c:val>
            <c:numRef>
              <c:f>Pivot_table!$C$21:$C$34</c:f>
              <c:numCache>
                <c:formatCode>General</c:formatCode>
                <c:ptCount val="13"/>
                <c:pt idx="0">
                  <c:v>2196594.0333333332</c:v>
                </c:pt>
                <c:pt idx="1">
                  <c:v>1772521.9000000001</c:v>
                </c:pt>
                <c:pt idx="2">
                  <c:v>1991515.2666666666</c:v>
                </c:pt>
                <c:pt idx="3">
                  <c:v>1736045.1666666667</c:v>
                </c:pt>
                <c:pt idx="4">
                  <c:v>2066715.0333333332</c:v>
                </c:pt>
                <c:pt idx="5">
                  <c:v>2090146.5333333332</c:v>
                </c:pt>
                <c:pt idx="6">
                  <c:v>2606823.5666666669</c:v>
                </c:pt>
                <c:pt idx="7">
                  <c:v>2706519.0333333332</c:v>
                </c:pt>
                <c:pt idx="8">
                  <c:v>2787066.4666666668</c:v>
                </c:pt>
                <c:pt idx="9">
                  <c:v>2653260.9366666665</c:v>
                </c:pt>
                <c:pt idx="10">
                  <c:v>2617306.1999999997</c:v>
                </c:pt>
                <c:pt idx="11">
                  <c:v>2643623.9666666668</c:v>
                </c:pt>
                <c:pt idx="12">
                  <c:v>2561753.3333333335</c:v>
                </c:pt>
              </c:numCache>
            </c:numRef>
          </c:val>
          <c:extLst>
            <c:ext xmlns:c16="http://schemas.microsoft.com/office/drawing/2014/chart" uri="{C3380CC4-5D6E-409C-BE32-E72D297353CC}">
              <c16:uniqueId val="{00000008-5734-4FE5-A213-17F490533B41}"/>
            </c:ext>
          </c:extLst>
        </c:ser>
        <c:ser>
          <c:idx val="2"/>
          <c:order val="2"/>
          <c:tx>
            <c:strRef>
              <c:f>Pivot_table!$D$19:$D$20</c:f>
              <c:strCache>
                <c:ptCount val="1"/>
                <c:pt idx="0">
                  <c:v>Maize (corn)</c:v>
                </c:pt>
              </c:strCache>
            </c:strRef>
          </c:tx>
          <c:spPr>
            <a:solidFill>
              <a:schemeClr val="accent3"/>
            </a:solidFill>
            <a:ln>
              <a:noFill/>
            </a:ln>
            <a:effectLst/>
          </c:spPr>
          <c:invertIfNegative val="0"/>
          <c:cat>
            <c:strRef>
              <c:f>Pivot_table!$A$21:$A$34</c:f>
              <c:strCache>
                <c:ptCount val="13"/>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strCache>
            </c:strRef>
          </c:cat>
          <c:val>
            <c:numRef>
              <c:f>Pivot_table!$D$21:$D$34</c:f>
              <c:numCache>
                <c:formatCode>General</c:formatCode>
                <c:ptCount val="13"/>
                <c:pt idx="0">
                  <c:v>3942670.0666666664</c:v>
                </c:pt>
                <c:pt idx="1">
                  <c:v>4778874.3666666662</c:v>
                </c:pt>
                <c:pt idx="2">
                  <c:v>4815903.9333333336</c:v>
                </c:pt>
                <c:pt idx="3">
                  <c:v>4728943.8666666662</c:v>
                </c:pt>
                <c:pt idx="4">
                  <c:v>5712950.3999999994</c:v>
                </c:pt>
                <c:pt idx="5">
                  <c:v>5030756.2666666666</c:v>
                </c:pt>
                <c:pt idx="6">
                  <c:v>5479676.5666666664</c:v>
                </c:pt>
                <c:pt idx="7">
                  <c:v>5674419.7000000002</c:v>
                </c:pt>
                <c:pt idx="8">
                  <c:v>5825667.8666666672</c:v>
                </c:pt>
                <c:pt idx="9">
                  <c:v>6461575.3999999994</c:v>
                </c:pt>
                <c:pt idx="10">
                  <c:v>6151316.8666666672</c:v>
                </c:pt>
                <c:pt idx="11">
                  <c:v>6317261.2666666666</c:v>
                </c:pt>
                <c:pt idx="12">
                  <c:v>6250384.2000000002</c:v>
                </c:pt>
              </c:numCache>
            </c:numRef>
          </c:val>
          <c:extLst>
            <c:ext xmlns:c16="http://schemas.microsoft.com/office/drawing/2014/chart" uri="{C3380CC4-5D6E-409C-BE32-E72D297353CC}">
              <c16:uniqueId val="{00000009-5734-4FE5-A213-17F490533B41}"/>
            </c:ext>
          </c:extLst>
        </c:ser>
        <c:ser>
          <c:idx val="3"/>
          <c:order val="3"/>
          <c:tx>
            <c:strRef>
              <c:f>Pivot_table!$E$19:$E$20</c:f>
              <c:strCache>
                <c:ptCount val="1"/>
                <c:pt idx="0">
                  <c:v>Millet</c:v>
                </c:pt>
              </c:strCache>
            </c:strRef>
          </c:tx>
          <c:spPr>
            <a:solidFill>
              <a:schemeClr val="accent4"/>
            </a:solidFill>
            <a:ln>
              <a:noFill/>
            </a:ln>
            <a:effectLst/>
          </c:spPr>
          <c:invertIfNegative val="0"/>
          <c:cat>
            <c:strRef>
              <c:f>Pivot_table!$A$21:$A$34</c:f>
              <c:strCache>
                <c:ptCount val="13"/>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strCache>
            </c:strRef>
          </c:cat>
          <c:val>
            <c:numRef>
              <c:f>Pivot_table!$E$21:$E$34</c:f>
              <c:numCache>
                <c:formatCode>General</c:formatCode>
                <c:ptCount val="13"/>
                <c:pt idx="0">
                  <c:v>3178584.9333333336</c:v>
                </c:pt>
                <c:pt idx="1">
                  <c:v>1366303.2333333334</c:v>
                </c:pt>
                <c:pt idx="2">
                  <c:v>869954.7333333334</c:v>
                </c:pt>
                <c:pt idx="3">
                  <c:v>798457.46666666667</c:v>
                </c:pt>
                <c:pt idx="4">
                  <c:v>1140590.8666666667</c:v>
                </c:pt>
                <c:pt idx="5">
                  <c:v>1183883.4333333333</c:v>
                </c:pt>
                <c:pt idx="6">
                  <c:v>1075301.9333333333</c:v>
                </c:pt>
                <c:pt idx="7">
                  <c:v>1109722.6666666667</c:v>
                </c:pt>
                <c:pt idx="8">
                  <c:v>1204917.8666666667</c:v>
                </c:pt>
                <c:pt idx="9">
                  <c:v>1224658.8</c:v>
                </c:pt>
                <c:pt idx="10">
                  <c:v>1222930.4000000001</c:v>
                </c:pt>
                <c:pt idx="11">
                  <c:v>1231810.0999999999</c:v>
                </c:pt>
                <c:pt idx="12">
                  <c:v>1314063.5333333334</c:v>
                </c:pt>
              </c:numCache>
            </c:numRef>
          </c:val>
          <c:extLst>
            <c:ext xmlns:c16="http://schemas.microsoft.com/office/drawing/2014/chart" uri="{C3380CC4-5D6E-409C-BE32-E72D297353CC}">
              <c16:uniqueId val="{0000000A-5734-4FE5-A213-17F490533B41}"/>
            </c:ext>
          </c:extLst>
        </c:ser>
        <c:ser>
          <c:idx val="4"/>
          <c:order val="4"/>
          <c:tx>
            <c:strRef>
              <c:f>Pivot_table!$F$19:$F$20</c:f>
              <c:strCache>
                <c:ptCount val="1"/>
                <c:pt idx="0">
                  <c:v>Rice</c:v>
                </c:pt>
              </c:strCache>
            </c:strRef>
          </c:tx>
          <c:spPr>
            <a:solidFill>
              <a:schemeClr val="accent5"/>
            </a:solidFill>
            <a:ln>
              <a:noFill/>
            </a:ln>
            <a:effectLst/>
          </c:spPr>
          <c:invertIfNegative val="0"/>
          <c:cat>
            <c:strRef>
              <c:f>Pivot_table!$A$21:$A$34</c:f>
              <c:strCache>
                <c:ptCount val="13"/>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strCache>
            </c:strRef>
          </c:cat>
          <c:val>
            <c:numRef>
              <c:f>Pivot_table!$F$21:$F$34</c:f>
              <c:numCache>
                <c:formatCode>General</c:formatCode>
                <c:ptCount val="13"/>
                <c:pt idx="0">
                  <c:v>2302329.5333333332</c:v>
                </c:pt>
                <c:pt idx="1">
                  <c:v>2294685.5</c:v>
                </c:pt>
                <c:pt idx="2">
                  <c:v>2766214.0333333332</c:v>
                </c:pt>
                <c:pt idx="3">
                  <c:v>2917328.1666666665</c:v>
                </c:pt>
                <c:pt idx="4">
                  <c:v>3262686.9666666668</c:v>
                </c:pt>
                <c:pt idx="5">
                  <c:v>3742224.7333333329</c:v>
                </c:pt>
                <c:pt idx="6">
                  <c:v>3904367.9</c:v>
                </c:pt>
                <c:pt idx="7">
                  <c:v>3867393.6666666665</c:v>
                </c:pt>
                <c:pt idx="8">
                  <c:v>4156955.6666666665</c:v>
                </c:pt>
                <c:pt idx="9">
                  <c:v>4188074.6999999997</c:v>
                </c:pt>
                <c:pt idx="10">
                  <c:v>4122949.3000000003</c:v>
                </c:pt>
                <c:pt idx="11">
                  <c:v>4221343.666666667</c:v>
                </c:pt>
                <c:pt idx="12">
                  <c:v>4361285.4333333336</c:v>
                </c:pt>
              </c:numCache>
            </c:numRef>
          </c:val>
          <c:extLst>
            <c:ext xmlns:c16="http://schemas.microsoft.com/office/drawing/2014/chart" uri="{C3380CC4-5D6E-409C-BE32-E72D297353CC}">
              <c16:uniqueId val="{0000000B-5734-4FE5-A213-17F490533B41}"/>
            </c:ext>
          </c:extLst>
        </c:ser>
        <c:ser>
          <c:idx val="5"/>
          <c:order val="5"/>
          <c:tx>
            <c:strRef>
              <c:f>Pivot_table!$G$19:$G$20</c:f>
              <c:strCache>
                <c:ptCount val="1"/>
                <c:pt idx="0">
                  <c:v>Sorghum</c:v>
                </c:pt>
              </c:strCache>
            </c:strRef>
          </c:tx>
          <c:spPr>
            <a:solidFill>
              <a:schemeClr val="accent6"/>
            </a:solidFill>
            <a:ln>
              <a:noFill/>
            </a:ln>
            <a:effectLst/>
          </c:spPr>
          <c:invertIfNegative val="0"/>
          <c:cat>
            <c:strRef>
              <c:f>Pivot_table!$A$21:$A$34</c:f>
              <c:strCache>
                <c:ptCount val="13"/>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strCache>
            </c:strRef>
          </c:cat>
          <c:val>
            <c:numRef>
              <c:f>Pivot_table!$G$21:$G$34</c:f>
              <c:numCache>
                <c:formatCode>General</c:formatCode>
                <c:ptCount val="13"/>
                <c:pt idx="0">
                  <c:v>4034179.9</c:v>
                </c:pt>
                <c:pt idx="1">
                  <c:v>3451077.5333333332</c:v>
                </c:pt>
                <c:pt idx="2">
                  <c:v>3646075.1666666665</c:v>
                </c:pt>
                <c:pt idx="3">
                  <c:v>3583480.9</c:v>
                </c:pt>
                <c:pt idx="4">
                  <c:v>4195553.7</c:v>
                </c:pt>
                <c:pt idx="5">
                  <c:v>4301782.166666667</c:v>
                </c:pt>
                <c:pt idx="6">
                  <c:v>4343155.6333333338</c:v>
                </c:pt>
                <c:pt idx="7">
                  <c:v>4253397.4333333336</c:v>
                </c:pt>
                <c:pt idx="8">
                  <c:v>4143369.0333333332</c:v>
                </c:pt>
                <c:pt idx="9">
                  <c:v>4021078.3000000003</c:v>
                </c:pt>
                <c:pt idx="10">
                  <c:v>4130445.4666666668</c:v>
                </c:pt>
                <c:pt idx="11">
                  <c:v>4219178</c:v>
                </c:pt>
                <c:pt idx="12">
                  <c:v>4169188.0333333332</c:v>
                </c:pt>
              </c:numCache>
            </c:numRef>
          </c:val>
          <c:extLst>
            <c:ext xmlns:c16="http://schemas.microsoft.com/office/drawing/2014/chart" uri="{C3380CC4-5D6E-409C-BE32-E72D297353CC}">
              <c16:uniqueId val="{0000000C-5734-4FE5-A213-17F490533B41}"/>
            </c:ext>
          </c:extLst>
        </c:ser>
        <c:ser>
          <c:idx val="6"/>
          <c:order val="6"/>
          <c:tx>
            <c:strRef>
              <c:f>Pivot_table!$H$19:$H$20</c:f>
              <c:strCache>
                <c:ptCount val="1"/>
                <c:pt idx="0">
                  <c:v>Yams</c:v>
                </c:pt>
              </c:strCache>
            </c:strRef>
          </c:tx>
          <c:spPr>
            <a:solidFill>
              <a:schemeClr val="accent1">
                <a:lumMod val="60000"/>
              </a:schemeClr>
            </a:solidFill>
            <a:ln>
              <a:noFill/>
            </a:ln>
            <a:effectLst/>
          </c:spPr>
          <c:invertIfNegative val="0"/>
          <c:cat>
            <c:strRef>
              <c:f>Pivot_table!$A$21:$A$34</c:f>
              <c:strCache>
                <c:ptCount val="13"/>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strCache>
            </c:strRef>
          </c:cat>
          <c:val>
            <c:numRef>
              <c:f>Pivot_table!$H$21:$H$34</c:f>
              <c:numCache>
                <c:formatCode>General</c:formatCode>
                <c:ptCount val="13"/>
                <c:pt idx="0">
                  <c:v>13403393.633333333</c:v>
                </c:pt>
                <c:pt idx="1">
                  <c:v>12538977.233333334</c:v>
                </c:pt>
                <c:pt idx="2">
                  <c:v>12271349.1</c:v>
                </c:pt>
                <c:pt idx="3">
                  <c:v>13571240.033333333</c:v>
                </c:pt>
                <c:pt idx="4">
                  <c:v>16350621.933333332</c:v>
                </c:pt>
                <c:pt idx="5">
                  <c:v>16500650.9</c:v>
                </c:pt>
                <c:pt idx="6">
                  <c:v>18113087.966666665</c:v>
                </c:pt>
                <c:pt idx="7">
                  <c:v>18268194.533333335</c:v>
                </c:pt>
                <c:pt idx="8">
                  <c:v>20267365.966666665</c:v>
                </c:pt>
                <c:pt idx="9">
                  <c:v>19900265.599999998</c:v>
                </c:pt>
                <c:pt idx="10">
                  <c:v>21160504.900000002</c:v>
                </c:pt>
                <c:pt idx="11">
                  <c:v>22463388.833333332</c:v>
                </c:pt>
                <c:pt idx="12">
                  <c:v>22858554.306666669</c:v>
                </c:pt>
              </c:numCache>
            </c:numRef>
          </c:val>
          <c:extLst>
            <c:ext xmlns:c16="http://schemas.microsoft.com/office/drawing/2014/chart" uri="{C3380CC4-5D6E-409C-BE32-E72D297353CC}">
              <c16:uniqueId val="{0000000D-5734-4FE5-A213-17F490533B41}"/>
            </c:ext>
          </c:extLst>
        </c:ser>
        <c:dLbls>
          <c:showLegendKey val="0"/>
          <c:showVal val="0"/>
          <c:showCatName val="0"/>
          <c:showSerName val="0"/>
          <c:showPercent val="0"/>
          <c:showBubbleSize val="0"/>
        </c:dLbls>
        <c:gapWidth val="182"/>
        <c:axId val="1139307679"/>
        <c:axId val="1139308159"/>
      </c:barChart>
      <c:catAx>
        <c:axId val="11393076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9308159"/>
        <c:crosses val="autoZero"/>
        <c:auto val="1"/>
        <c:lblAlgn val="ctr"/>
        <c:lblOffset val="100"/>
        <c:noMultiLvlLbl val="0"/>
      </c:catAx>
      <c:valAx>
        <c:axId val="11393081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9307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[P1_project.xlsx]Pivot_table!PivotTable15</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Yield</a:t>
            </a:r>
            <a:r>
              <a:rPr lang="en-US" baseline="0"/>
              <a:t> Trends in 10 Years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w="28575" cap="rnd">
            <a:solidFill>
              <a:schemeClr val="accent1"/>
            </a:solidFill>
            <a:round/>
          </a:ln>
          <a:effectLst/>
        </c:spPr>
        <c:marker>
          <c:symbol val="none"/>
        </c:marker>
      </c:pivotFmt>
      <c:pivotFmt>
        <c:idx val="6"/>
        <c:spPr>
          <a:solidFill>
            <a:schemeClr val="accent1"/>
          </a:solidFill>
          <a:ln w="28575" cap="rnd">
            <a:solidFill>
              <a:schemeClr val="accent1"/>
            </a:solidFill>
            <a:round/>
          </a:ln>
          <a:effectLst/>
        </c:spPr>
        <c:marker>
          <c:symbol val="none"/>
        </c:marker>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Pivot_table!$B$19:$B$20</c:f>
              <c:strCache>
                <c:ptCount val="1"/>
                <c:pt idx="0">
                  <c:v>Cassava, fresh</c:v>
                </c:pt>
              </c:strCache>
            </c:strRef>
          </c:tx>
          <c:spPr>
            <a:ln w="28575" cap="rnd">
              <a:solidFill>
                <a:schemeClr val="accent1"/>
              </a:solidFill>
              <a:round/>
            </a:ln>
            <a:effectLst/>
          </c:spPr>
          <c:marker>
            <c:symbol val="none"/>
          </c:marker>
          <c:cat>
            <c:strRef>
              <c:f>Pivot_table!$A$21:$A$34</c:f>
              <c:strCache>
                <c:ptCount val="13"/>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strCache>
            </c:strRef>
          </c:cat>
          <c:val>
            <c:numRef>
              <c:f>Pivot_table!$B$21:$B$34</c:f>
              <c:numCache>
                <c:formatCode>General</c:formatCode>
                <c:ptCount val="13"/>
                <c:pt idx="0">
                  <c:v>15342431.833333334</c:v>
                </c:pt>
                <c:pt idx="1">
                  <c:v>16773874.933333332</c:v>
                </c:pt>
                <c:pt idx="2">
                  <c:v>19120082.166666668</c:v>
                </c:pt>
                <c:pt idx="3">
                  <c:v>18051700.766666666</c:v>
                </c:pt>
                <c:pt idx="4">
                  <c:v>20476218.466666665</c:v>
                </c:pt>
                <c:pt idx="5">
                  <c:v>21770985.300000001</c:v>
                </c:pt>
                <c:pt idx="6">
                  <c:v>22402645.433333334</c:v>
                </c:pt>
                <c:pt idx="7">
                  <c:v>22706874.233333334</c:v>
                </c:pt>
                <c:pt idx="8">
                  <c:v>24103217.933333334</c:v>
                </c:pt>
                <c:pt idx="9">
                  <c:v>22250545.699999999</c:v>
                </c:pt>
                <c:pt idx="10">
                  <c:v>21728539.833333332</c:v>
                </c:pt>
                <c:pt idx="11">
                  <c:v>22740888.599999998</c:v>
                </c:pt>
                <c:pt idx="12">
                  <c:v>23802943.253333334</c:v>
                </c:pt>
              </c:numCache>
            </c:numRef>
          </c:val>
          <c:smooth val="0"/>
          <c:extLst>
            <c:ext xmlns:c16="http://schemas.microsoft.com/office/drawing/2014/chart" uri="{C3380CC4-5D6E-409C-BE32-E72D297353CC}">
              <c16:uniqueId val="{00000000-6325-491E-A007-16E1FB3DB83C}"/>
            </c:ext>
          </c:extLst>
        </c:ser>
        <c:ser>
          <c:idx val="1"/>
          <c:order val="1"/>
          <c:tx>
            <c:strRef>
              <c:f>Pivot_table!$C$19:$C$20</c:f>
              <c:strCache>
                <c:ptCount val="1"/>
                <c:pt idx="0">
                  <c:v>Groundnuts, excluding shelled</c:v>
                </c:pt>
              </c:strCache>
            </c:strRef>
          </c:tx>
          <c:spPr>
            <a:ln w="28575" cap="rnd">
              <a:solidFill>
                <a:schemeClr val="accent2"/>
              </a:solidFill>
              <a:round/>
            </a:ln>
            <a:effectLst/>
          </c:spPr>
          <c:marker>
            <c:symbol val="none"/>
          </c:marker>
          <c:cat>
            <c:strRef>
              <c:f>Pivot_table!$A$21:$A$34</c:f>
              <c:strCache>
                <c:ptCount val="13"/>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strCache>
            </c:strRef>
          </c:cat>
          <c:val>
            <c:numRef>
              <c:f>Pivot_table!$C$21:$C$34</c:f>
              <c:numCache>
                <c:formatCode>General</c:formatCode>
                <c:ptCount val="13"/>
                <c:pt idx="0">
                  <c:v>2196594.0333333332</c:v>
                </c:pt>
                <c:pt idx="1">
                  <c:v>1772521.9000000001</c:v>
                </c:pt>
                <c:pt idx="2">
                  <c:v>1991515.2666666666</c:v>
                </c:pt>
                <c:pt idx="3">
                  <c:v>1736045.1666666667</c:v>
                </c:pt>
                <c:pt idx="4">
                  <c:v>2066715.0333333332</c:v>
                </c:pt>
                <c:pt idx="5">
                  <c:v>2090146.5333333332</c:v>
                </c:pt>
                <c:pt idx="6">
                  <c:v>2606823.5666666669</c:v>
                </c:pt>
                <c:pt idx="7">
                  <c:v>2706519.0333333332</c:v>
                </c:pt>
                <c:pt idx="8">
                  <c:v>2787066.4666666668</c:v>
                </c:pt>
                <c:pt idx="9">
                  <c:v>2653260.9366666665</c:v>
                </c:pt>
                <c:pt idx="10">
                  <c:v>2617306.1999999997</c:v>
                </c:pt>
                <c:pt idx="11">
                  <c:v>2643623.9666666668</c:v>
                </c:pt>
                <c:pt idx="12">
                  <c:v>2561753.3333333335</c:v>
                </c:pt>
              </c:numCache>
            </c:numRef>
          </c:val>
          <c:smooth val="0"/>
          <c:extLst>
            <c:ext xmlns:c16="http://schemas.microsoft.com/office/drawing/2014/chart" uri="{C3380CC4-5D6E-409C-BE32-E72D297353CC}">
              <c16:uniqueId val="{00000016-6325-491E-A007-16E1FB3DB83C}"/>
            </c:ext>
          </c:extLst>
        </c:ser>
        <c:ser>
          <c:idx val="2"/>
          <c:order val="2"/>
          <c:tx>
            <c:strRef>
              <c:f>Pivot_table!$D$19:$D$20</c:f>
              <c:strCache>
                <c:ptCount val="1"/>
                <c:pt idx="0">
                  <c:v>Maize (corn)</c:v>
                </c:pt>
              </c:strCache>
            </c:strRef>
          </c:tx>
          <c:spPr>
            <a:ln w="28575" cap="rnd">
              <a:solidFill>
                <a:schemeClr val="accent3"/>
              </a:solidFill>
              <a:round/>
            </a:ln>
            <a:effectLst/>
          </c:spPr>
          <c:marker>
            <c:symbol val="none"/>
          </c:marker>
          <c:cat>
            <c:strRef>
              <c:f>Pivot_table!$A$21:$A$34</c:f>
              <c:strCache>
                <c:ptCount val="13"/>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strCache>
            </c:strRef>
          </c:cat>
          <c:val>
            <c:numRef>
              <c:f>Pivot_table!$D$21:$D$34</c:f>
              <c:numCache>
                <c:formatCode>General</c:formatCode>
                <c:ptCount val="13"/>
                <c:pt idx="0">
                  <c:v>3942670.0666666664</c:v>
                </c:pt>
                <c:pt idx="1">
                  <c:v>4778874.3666666662</c:v>
                </c:pt>
                <c:pt idx="2">
                  <c:v>4815903.9333333336</c:v>
                </c:pt>
                <c:pt idx="3">
                  <c:v>4728943.8666666662</c:v>
                </c:pt>
                <c:pt idx="4">
                  <c:v>5712950.3999999994</c:v>
                </c:pt>
                <c:pt idx="5">
                  <c:v>5030756.2666666666</c:v>
                </c:pt>
                <c:pt idx="6">
                  <c:v>5479676.5666666664</c:v>
                </c:pt>
                <c:pt idx="7">
                  <c:v>5674419.7000000002</c:v>
                </c:pt>
                <c:pt idx="8">
                  <c:v>5825667.8666666672</c:v>
                </c:pt>
                <c:pt idx="9">
                  <c:v>6461575.3999999994</c:v>
                </c:pt>
                <c:pt idx="10">
                  <c:v>6151316.8666666672</c:v>
                </c:pt>
                <c:pt idx="11">
                  <c:v>6317261.2666666666</c:v>
                </c:pt>
                <c:pt idx="12">
                  <c:v>6250384.2000000002</c:v>
                </c:pt>
              </c:numCache>
            </c:numRef>
          </c:val>
          <c:smooth val="0"/>
          <c:extLst>
            <c:ext xmlns:c16="http://schemas.microsoft.com/office/drawing/2014/chart" uri="{C3380CC4-5D6E-409C-BE32-E72D297353CC}">
              <c16:uniqueId val="{00000017-6325-491E-A007-16E1FB3DB83C}"/>
            </c:ext>
          </c:extLst>
        </c:ser>
        <c:ser>
          <c:idx val="3"/>
          <c:order val="3"/>
          <c:tx>
            <c:strRef>
              <c:f>Pivot_table!$E$19:$E$20</c:f>
              <c:strCache>
                <c:ptCount val="1"/>
                <c:pt idx="0">
                  <c:v>Millet</c:v>
                </c:pt>
              </c:strCache>
            </c:strRef>
          </c:tx>
          <c:spPr>
            <a:ln w="28575" cap="rnd">
              <a:solidFill>
                <a:schemeClr val="accent4"/>
              </a:solidFill>
              <a:round/>
            </a:ln>
            <a:effectLst/>
          </c:spPr>
          <c:marker>
            <c:symbol val="none"/>
          </c:marker>
          <c:cat>
            <c:strRef>
              <c:f>Pivot_table!$A$21:$A$34</c:f>
              <c:strCache>
                <c:ptCount val="13"/>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strCache>
            </c:strRef>
          </c:cat>
          <c:val>
            <c:numRef>
              <c:f>Pivot_table!$E$21:$E$34</c:f>
              <c:numCache>
                <c:formatCode>General</c:formatCode>
                <c:ptCount val="13"/>
                <c:pt idx="0">
                  <c:v>3178584.9333333336</c:v>
                </c:pt>
                <c:pt idx="1">
                  <c:v>1366303.2333333334</c:v>
                </c:pt>
                <c:pt idx="2">
                  <c:v>869954.7333333334</c:v>
                </c:pt>
                <c:pt idx="3">
                  <c:v>798457.46666666667</c:v>
                </c:pt>
                <c:pt idx="4">
                  <c:v>1140590.8666666667</c:v>
                </c:pt>
                <c:pt idx="5">
                  <c:v>1183883.4333333333</c:v>
                </c:pt>
                <c:pt idx="6">
                  <c:v>1075301.9333333333</c:v>
                </c:pt>
                <c:pt idx="7">
                  <c:v>1109722.6666666667</c:v>
                </c:pt>
                <c:pt idx="8">
                  <c:v>1204917.8666666667</c:v>
                </c:pt>
                <c:pt idx="9">
                  <c:v>1224658.8</c:v>
                </c:pt>
                <c:pt idx="10">
                  <c:v>1222930.4000000001</c:v>
                </c:pt>
                <c:pt idx="11">
                  <c:v>1231810.0999999999</c:v>
                </c:pt>
                <c:pt idx="12">
                  <c:v>1314063.5333333334</c:v>
                </c:pt>
              </c:numCache>
            </c:numRef>
          </c:val>
          <c:smooth val="0"/>
          <c:extLst>
            <c:ext xmlns:c16="http://schemas.microsoft.com/office/drawing/2014/chart" uri="{C3380CC4-5D6E-409C-BE32-E72D297353CC}">
              <c16:uniqueId val="{00000018-6325-491E-A007-16E1FB3DB83C}"/>
            </c:ext>
          </c:extLst>
        </c:ser>
        <c:ser>
          <c:idx val="4"/>
          <c:order val="4"/>
          <c:tx>
            <c:strRef>
              <c:f>Pivot_table!$F$19:$F$20</c:f>
              <c:strCache>
                <c:ptCount val="1"/>
                <c:pt idx="0">
                  <c:v>Rice</c:v>
                </c:pt>
              </c:strCache>
            </c:strRef>
          </c:tx>
          <c:spPr>
            <a:ln w="28575" cap="rnd">
              <a:solidFill>
                <a:schemeClr val="accent5"/>
              </a:solidFill>
              <a:round/>
            </a:ln>
            <a:effectLst/>
          </c:spPr>
          <c:marker>
            <c:symbol val="none"/>
          </c:marker>
          <c:cat>
            <c:strRef>
              <c:f>Pivot_table!$A$21:$A$34</c:f>
              <c:strCache>
                <c:ptCount val="13"/>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strCache>
            </c:strRef>
          </c:cat>
          <c:val>
            <c:numRef>
              <c:f>Pivot_table!$F$21:$F$34</c:f>
              <c:numCache>
                <c:formatCode>General</c:formatCode>
                <c:ptCount val="13"/>
                <c:pt idx="0">
                  <c:v>2302329.5333333332</c:v>
                </c:pt>
                <c:pt idx="1">
                  <c:v>2294685.5</c:v>
                </c:pt>
                <c:pt idx="2">
                  <c:v>2766214.0333333332</c:v>
                </c:pt>
                <c:pt idx="3">
                  <c:v>2917328.1666666665</c:v>
                </c:pt>
                <c:pt idx="4">
                  <c:v>3262686.9666666668</c:v>
                </c:pt>
                <c:pt idx="5">
                  <c:v>3742224.7333333329</c:v>
                </c:pt>
                <c:pt idx="6">
                  <c:v>3904367.9</c:v>
                </c:pt>
                <c:pt idx="7">
                  <c:v>3867393.6666666665</c:v>
                </c:pt>
                <c:pt idx="8">
                  <c:v>4156955.6666666665</c:v>
                </c:pt>
                <c:pt idx="9">
                  <c:v>4188074.6999999997</c:v>
                </c:pt>
                <c:pt idx="10">
                  <c:v>4122949.3000000003</c:v>
                </c:pt>
                <c:pt idx="11">
                  <c:v>4221343.666666667</c:v>
                </c:pt>
                <c:pt idx="12">
                  <c:v>4361285.4333333336</c:v>
                </c:pt>
              </c:numCache>
            </c:numRef>
          </c:val>
          <c:smooth val="0"/>
          <c:extLst>
            <c:ext xmlns:c16="http://schemas.microsoft.com/office/drawing/2014/chart" uri="{C3380CC4-5D6E-409C-BE32-E72D297353CC}">
              <c16:uniqueId val="{00000019-6325-491E-A007-16E1FB3DB83C}"/>
            </c:ext>
          </c:extLst>
        </c:ser>
        <c:ser>
          <c:idx val="5"/>
          <c:order val="5"/>
          <c:tx>
            <c:strRef>
              <c:f>Pivot_table!$G$19:$G$20</c:f>
              <c:strCache>
                <c:ptCount val="1"/>
                <c:pt idx="0">
                  <c:v>Sorghum</c:v>
                </c:pt>
              </c:strCache>
            </c:strRef>
          </c:tx>
          <c:spPr>
            <a:ln w="28575" cap="rnd">
              <a:solidFill>
                <a:schemeClr val="accent6"/>
              </a:solidFill>
              <a:round/>
            </a:ln>
            <a:effectLst/>
          </c:spPr>
          <c:marker>
            <c:symbol val="none"/>
          </c:marker>
          <c:cat>
            <c:strRef>
              <c:f>Pivot_table!$A$21:$A$34</c:f>
              <c:strCache>
                <c:ptCount val="13"/>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strCache>
            </c:strRef>
          </c:cat>
          <c:val>
            <c:numRef>
              <c:f>Pivot_table!$G$21:$G$34</c:f>
              <c:numCache>
                <c:formatCode>General</c:formatCode>
                <c:ptCount val="13"/>
                <c:pt idx="0">
                  <c:v>4034179.9</c:v>
                </c:pt>
                <c:pt idx="1">
                  <c:v>3451077.5333333332</c:v>
                </c:pt>
                <c:pt idx="2">
                  <c:v>3646075.1666666665</c:v>
                </c:pt>
                <c:pt idx="3">
                  <c:v>3583480.9</c:v>
                </c:pt>
                <c:pt idx="4">
                  <c:v>4195553.7</c:v>
                </c:pt>
                <c:pt idx="5">
                  <c:v>4301782.166666667</c:v>
                </c:pt>
                <c:pt idx="6">
                  <c:v>4343155.6333333338</c:v>
                </c:pt>
                <c:pt idx="7">
                  <c:v>4253397.4333333336</c:v>
                </c:pt>
                <c:pt idx="8">
                  <c:v>4143369.0333333332</c:v>
                </c:pt>
                <c:pt idx="9">
                  <c:v>4021078.3000000003</c:v>
                </c:pt>
                <c:pt idx="10">
                  <c:v>4130445.4666666668</c:v>
                </c:pt>
                <c:pt idx="11">
                  <c:v>4219178</c:v>
                </c:pt>
                <c:pt idx="12">
                  <c:v>4169188.0333333332</c:v>
                </c:pt>
              </c:numCache>
            </c:numRef>
          </c:val>
          <c:smooth val="0"/>
          <c:extLst>
            <c:ext xmlns:c16="http://schemas.microsoft.com/office/drawing/2014/chart" uri="{C3380CC4-5D6E-409C-BE32-E72D297353CC}">
              <c16:uniqueId val="{0000001A-6325-491E-A007-16E1FB3DB83C}"/>
            </c:ext>
          </c:extLst>
        </c:ser>
        <c:ser>
          <c:idx val="6"/>
          <c:order val="6"/>
          <c:tx>
            <c:strRef>
              <c:f>Pivot_table!$H$19:$H$20</c:f>
              <c:strCache>
                <c:ptCount val="1"/>
                <c:pt idx="0">
                  <c:v>Yams</c:v>
                </c:pt>
              </c:strCache>
            </c:strRef>
          </c:tx>
          <c:spPr>
            <a:ln w="28575" cap="rnd">
              <a:solidFill>
                <a:schemeClr val="accent1">
                  <a:lumMod val="60000"/>
                </a:schemeClr>
              </a:solidFill>
              <a:round/>
            </a:ln>
            <a:effectLst/>
          </c:spPr>
          <c:marker>
            <c:symbol val="none"/>
          </c:marker>
          <c:cat>
            <c:strRef>
              <c:f>Pivot_table!$A$21:$A$34</c:f>
              <c:strCache>
                <c:ptCount val="13"/>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strCache>
            </c:strRef>
          </c:cat>
          <c:val>
            <c:numRef>
              <c:f>Pivot_table!$H$21:$H$34</c:f>
              <c:numCache>
                <c:formatCode>General</c:formatCode>
                <c:ptCount val="13"/>
                <c:pt idx="0">
                  <c:v>13403393.633333333</c:v>
                </c:pt>
                <c:pt idx="1">
                  <c:v>12538977.233333334</c:v>
                </c:pt>
                <c:pt idx="2">
                  <c:v>12271349.1</c:v>
                </c:pt>
                <c:pt idx="3">
                  <c:v>13571240.033333333</c:v>
                </c:pt>
                <c:pt idx="4">
                  <c:v>16350621.933333332</c:v>
                </c:pt>
                <c:pt idx="5">
                  <c:v>16500650.9</c:v>
                </c:pt>
                <c:pt idx="6">
                  <c:v>18113087.966666665</c:v>
                </c:pt>
                <c:pt idx="7">
                  <c:v>18268194.533333335</c:v>
                </c:pt>
                <c:pt idx="8">
                  <c:v>20267365.966666665</c:v>
                </c:pt>
                <c:pt idx="9">
                  <c:v>19900265.599999998</c:v>
                </c:pt>
                <c:pt idx="10">
                  <c:v>21160504.900000002</c:v>
                </c:pt>
                <c:pt idx="11">
                  <c:v>22463388.833333332</c:v>
                </c:pt>
                <c:pt idx="12">
                  <c:v>22858554.306666669</c:v>
                </c:pt>
              </c:numCache>
            </c:numRef>
          </c:val>
          <c:smooth val="0"/>
          <c:extLst>
            <c:ext xmlns:c16="http://schemas.microsoft.com/office/drawing/2014/chart" uri="{C3380CC4-5D6E-409C-BE32-E72D297353CC}">
              <c16:uniqueId val="{0000001B-6325-491E-A007-16E1FB3DB83C}"/>
            </c:ext>
          </c:extLst>
        </c:ser>
        <c:dLbls>
          <c:showLegendKey val="0"/>
          <c:showVal val="0"/>
          <c:showCatName val="0"/>
          <c:showSerName val="0"/>
          <c:showPercent val="0"/>
          <c:showBubbleSize val="0"/>
        </c:dLbls>
        <c:smooth val="0"/>
        <c:axId val="1064313951"/>
        <c:axId val="1064302431"/>
      </c:lineChart>
      <c:catAx>
        <c:axId val="1064313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302431"/>
        <c:crosses val="autoZero"/>
        <c:auto val="1"/>
        <c:lblAlgn val="ctr"/>
        <c:lblOffset val="100"/>
        <c:noMultiLvlLbl val="0"/>
      </c:catAx>
      <c:valAx>
        <c:axId val="10643024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Yield</a:t>
                </a:r>
                <a:r>
                  <a:rPr lang="en-US" baseline="0"/>
                  <a:t> Value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313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[P1_project.xlsx]Pivot_table!PivotTable15</c:name>
    <c:fmtId val="1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Pivot_table!$B$19:$B$20</c:f>
              <c:strCache>
                <c:ptCount val="1"/>
                <c:pt idx="0">
                  <c:v>Cassava, fresh</c:v>
                </c:pt>
              </c:strCache>
            </c:strRef>
          </c:tx>
          <c:spPr>
            <a:solidFill>
              <a:schemeClr val="accent1"/>
            </a:solidFill>
            <a:ln>
              <a:noFill/>
            </a:ln>
            <a:effectLst/>
          </c:spPr>
          <c:invertIfNegative val="0"/>
          <c:cat>
            <c:strRef>
              <c:f>Pivot_table!$A$21:$A$34</c:f>
              <c:strCache>
                <c:ptCount val="13"/>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strCache>
            </c:strRef>
          </c:cat>
          <c:val>
            <c:numRef>
              <c:f>Pivot_table!$B$21:$B$34</c:f>
              <c:numCache>
                <c:formatCode>General</c:formatCode>
                <c:ptCount val="13"/>
                <c:pt idx="0">
                  <c:v>15342431.833333334</c:v>
                </c:pt>
                <c:pt idx="1">
                  <c:v>16773874.933333332</c:v>
                </c:pt>
                <c:pt idx="2">
                  <c:v>19120082.166666668</c:v>
                </c:pt>
                <c:pt idx="3">
                  <c:v>18051700.766666666</c:v>
                </c:pt>
                <c:pt idx="4">
                  <c:v>20476218.466666665</c:v>
                </c:pt>
                <c:pt idx="5">
                  <c:v>21770985.300000001</c:v>
                </c:pt>
                <c:pt idx="6">
                  <c:v>22402645.433333334</c:v>
                </c:pt>
                <c:pt idx="7">
                  <c:v>22706874.233333334</c:v>
                </c:pt>
                <c:pt idx="8">
                  <c:v>24103217.933333334</c:v>
                </c:pt>
                <c:pt idx="9">
                  <c:v>22250545.699999999</c:v>
                </c:pt>
                <c:pt idx="10">
                  <c:v>21728539.833333332</c:v>
                </c:pt>
                <c:pt idx="11">
                  <c:v>22740888.599999998</c:v>
                </c:pt>
                <c:pt idx="12">
                  <c:v>23802943.253333334</c:v>
                </c:pt>
              </c:numCache>
            </c:numRef>
          </c:val>
          <c:extLst>
            <c:ext xmlns:c16="http://schemas.microsoft.com/office/drawing/2014/chart" uri="{C3380CC4-5D6E-409C-BE32-E72D297353CC}">
              <c16:uniqueId val="{00000000-F037-489C-8842-17F2038AC395}"/>
            </c:ext>
          </c:extLst>
        </c:ser>
        <c:ser>
          <c:idx val="1"/>
          <c:order val="1"/>
          <c:tx>
            <c:strRef>
              <c:f>Pivot_table!$C$19:$C$20</c:f>
              <c:strCache>
                <c:ptCount val="1"/>
                <c:pt idx="0">
                  <c:v>Groundnuts, excluding shelled</c:v>
                </c:pt>
              </c:strCache>
            </c:strRef>
          </c:tx>
          <c:spPr>
            <a:solidFill>
              <a:schemeClr val="accent2"/>
            </a:solidFill>
            <a:ln>
              <a:noFill/>
            </a:ln>
            <a:effectLst/>
          </c:spPr>
          <c:invertIfNegative val="0"/>
          <c:cat>
            <c:strRef>
              <c:f>Pivot_table!$A$21:$A$34</c:f>
              <c:strCache>
                <c:ptCount val="13"/>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strCache>
            </c:strRef>
          </c:cat>
          <c:val>
            <c:numRef>
              <c:f>Pivot_table!$C$21:$C$34</c:f>
              <c:numCache>
                <c:formatCode>General</c:formatCode>
                <c:ptCount val="13"/>
                <c:pt idx="0">
                  <c:v>2196594.0333333332</c:v>
                </c:pt>
                <c:pt idx="1">
                  <c:v>1772521.9000000001</c:v>
                </c:pt>
                <c:pt idx="2">
                  <c:v>1991515.2666666666</c:v>
                </c:pt>
                <c:pt idx="3">
                  <c:v>1736045.1666666667</c:v>
                </c:pt>
                <c:pt idx="4">
                  <c:v>2066715.0333333332</c:v>
                </c:pt>
                <c:pt idx="5">
                  <c:v>2090146.5333333332</c:v>
                </c:pt>
                <c:pt idx="6">
                  <c:v>2606823.5666666669</c:v>
                </c:pt>
                <c:pt idx="7">
                  <c:v>2706519.0333333332</c:v>
                </c:pt>
                <c:pt idx="8">
                  <c:v>2787066.4666666668</c:v>
                </c:pt>
                <c:pt idx="9">
                  <c:v>2653260.9366666665</c:v>
                </c:pt>
                <c:pt idx="10">
                  <c:v>2617306.1999999997</c:v>
                </c:pt>
                <c:pt idx="11">
                  <c:v>2643623.9666666668</c:v>
                </c:pt>
                <c:pt idx="12">
                  <c:v>2561753.3333333335</c:v>
                </c:pt>
              </c:numCache>
            </c:numRef>
          </c:val>
          <c:extLst>
            <c:ext xmlns:c16="http://schemas.microsoft.com/office/drawing/2014/chart" uri="{C3380CC4-5D6E-409C-BE32-E72D297353CC}">
              <c16:uniqueId val="{00000008-F037-489C-8842-17F2038AC395}"/>
            </c:ext>
          </c:extLst>
        </c:ser>
        <c:ser>
          <c:idx val="2"/>
          <c:order val="2"/>
          <c:tx>
            <c:strRef>
              <c:f>Pivot_table!$D$19:$D$20</c:f>
              <c:strCache>
                <c:ptCount val="1"/>
                <c:pt idx="0">
                  <c:v>Maize (corn)</c:v>
                </c:pt>
              </c:strCache>
            </c:strRef>
          </c:tx>
          <c:spPr>
            <a:solidFill>
              <a:schemeClr val="accent3"/>
            </a:solidFill>
            <a:ln>
              <a:noFill/>
            </a:ln>
            <a:effectLst/>
          </c:spPr>
          <c:invertIfNegative val="0"/>
          <c:cat>
            <c:strRef>
              <c:f>Pivot_table!$A$21:$A$34</c:f>
              <c:strCache>
                <c:ptCount val="13"/>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strCache>
            </c:strRef>
          </c:cat>
          <c:val>
            <c:numRef>
              <c:f>Pivot_table!$D$21:$D$34</c:f>
              <c:numCache>
                <c:formatCode>General</c:formatCode>
                <c:ptCount val="13"/>
                <c:pt idx="0">
                  <c:v>3942670.0666666664</c:v>
                </c:pt>
                <c:pt idx="1">
                  <c:v>4778874.3666666662</c:v>
                </c:pt>
                <c:pt idx="2">
                  <c:v>4815903.9333333336</c:v>
                </c:pt>
                <c:pt idx="3">
                  <c:v>4728943.8666666662</c:v>
                </c:pt>
                <c:pt idx="4">
                  <c:v>5712950.3999999994</c:v>
                </c:pt>
                <c:pt idx="5">
                  <c:v>5030756.2666666666</c:v>
                </c:pt>
                <c:pt idx="6">
                  <c:v>5479676.5666666664</c:v>
                </c:pt>
                <c:pt idx="7">
                  <c:v>5674419.7000000002</c:v>
                </c:pt>
                <c:pt idx="8">
                  <c:v>5825667.8666666672</c:v>
                </c:pt>
                <c:pt idx="9">
                  <c:v>6461575.3999999994</c:v>
                </c:pt>
                <c:pt idx="10">
                  <c:v>6151316.8666666672</c:v>
                </c:pt>
                <c:pt idx="11">
                  <c:v>6317261.2666666666</c:v>
                </c:pt>
                <c:pt idx="12">
                  <c:v>6250384.2000000002</c:v>
                </c:pt>
              </c:numCache>
            </c:numRef>
          </c:val>
          <c:extLst>
            <c:ext xmlns:c16="http://schemas.microsoft.com/office/drawing/2014/chart" uri="{C3380CC4-5D6E-409C-BE32-E72D297353CC}">
              <c16:uniqueId val="{00000009-F037-489C-8842-17F2038AC395}"/>
            </c:ext>
          </c:extLst>
        </c:ser>
        <c:ser>
          <c:idx val="3"/>
          <c:order val="3"/>
          <c:tx>
            <c:strRef>
              <c:f>Pivot_table!$E$19:$E$20</c:f>
              <c:strCache>
                <c:ptCount val="1"/>
                <c:pt idx="0">
                  <c:v>Millet</c:v>
                </c:pt>
              </c:strCache>
            </c:strRef>
          </c:tx>
          <c:spPr>
            <a:solidFill>
              <a:schemeClr val="accent4"/>
            </a:solidFill>
            <a:ln>
              <a:noFill/>
            </a:ln>
            <a:effectLst/>
          </c:spPr>
          <c:invertIfNegative val="0"/>
          <c:cat>
            <c:strRef>
              <c:f>Pivot_table!$A$21:$A$34</c:f>
              <c:strCache>
                <c:ptCount val="13"/>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strCache>
            </c:strRef>
          </c:cat>
          <c:val>
            <c:numRef>
              <c:f>Pivot_table!$E$21:$E$34</c:f>
              <c:numCache>
                <c:formatCode>General</c:formatCode>
                <c:ptCount val="13"/>
                <c:pt idx="0">
                  <c:v>3178584.9333333336</c:v>
                </c:pt>
                <c:pt idx="1">
                  <c:v>1366303.2333333334</c:v>
                </c:pt>
                <c:pt idx="2">
                  <c:v>869954.7333333334</c:v>
                </c:pt>
                <c:pt idx="3">
                  <c:v>798457.46666666667</c:v>
                </c:pt>
                <c:pt idx="4">
                  <c:v>1140590.8666666667</c:v>
                </c:pt>
                <c:pt idx="5">
                  <c:v>1183883.4333333333</c:v>
                </c:pt>
                <c:pt idx="6">
                  <c:v>1075301.9333333333</c:v>
                </c:pt>
                <c:pt idx="7">
                  <c:v>1109722.6666666667</c:v>
                </c:pt>
                <c:pt idx="8">
                  <c:v>1204917.8666666667</c:v>
                </c:pt>
                <c:pt idx="9">
                  <c:v>1224658.8</c:v>
                </c:pt>
                <c:pt idx="10">
                  <c:v>1222930.4000000001</c:v>
                </c:pt>
                <c:pt idx="11">
                  <c:v>1231810.0999999999</c:v>
                </c:pt>
                <c:pt idx="12">
                  <c:v>1314063.5333333334</c:v>
                </c:pt>
              </c:numCache>
            </c:numRef>
          </c:val>
          <c:extLst>
            <c:ext xmlns:c16="http://schemas.microsoft.com/office/drawing/2014/chart" uri="{C3380CC4-5D6E-409C-BE32-E72D297353CC}">
              <c16:uniqueId val="{0000000A-F037-489C-8842-17F2038AC395}"/>
            </c:ext>
          </c:extLst>
        </c:ser>
        <c:ser>
          <c:idx val="4"/>
          <c:order val="4"/>
          <c:tx>
            <c:strRef>
              <c:f>Pivot_table!$F$19:$F$20</c:f>
              <c:strCache>
                <c:ptCount val="1"/>
                <c:pt idx="0">
                  <c:v>Rice</c:v>
                </c:pt>
              </c:strCache>
            </c:strRef>
          </c:tx>
          <c:spPr>
            <a:solidFill>
              <a:schemeClr val="accent5"/>
            </a:solidFill>
            <a:ln>
              <a:noFill/>
            </a:ln>
            <a:effectLst/>
          </c:spPr>
          <c:invertIfNegative val="0"/>
          <c:cat>
            <c:strRef>
              <c:f>Pivot_table!$A$21:$A$34</c:f>
              <c:strCache>
                <c:ptCount val="13"/>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strCache>
            </c:strRef>
          </c:cat>
          <c:val>
            <c:numRef>
              <c:f>Pivot_table!$F$21:$F$34</c:f>
              <c:numCache>
                <c:formatCode>General</c:formatCode>
                <c:ptCount val="13"/>
                <c:pt idx="0">
                  <c:v>2302329.5333333332</c:v>
                </c:pt>
                <c:pt idx="1">
                  <c:v>2294685.5</c:v>
                </c:pt>
                <c:pt idx="2">
                  <c:v>2766214.0333333332</c:v>
                </c:pt>
                <c:pt idx="3">
                  <c:v>2917328.1666666665</c:v>
                </c:pt>
                <c:pt idx="4">
                  <c:v>3262686.9666666668</c:v>
                </c:pt>
                <c:pt idx="5">
                  <c:v>3742224.7333333329</c:v>
                </c:pt>
                <c:pt idx="6">
                  <c:v>3904367.9</c:v>
                </c:pt>
                <c:pt idx="7">
                  <c:v>3867393.6666666665</c:v>
                </c:pt>
                <c:pt idx="8">
                  <c:v>4156955.6666666665</c:v>
                </c:pt>
                <c:pt idx="9">
                  <c:v>4188074.6999999997</c:v>
                </c:pt>
                <c:pt idx="10">
                  <c:v>4122949.3000000003</c:v>
                </c:pt>
                <c:pt idx="11">
                  <c:v>4221343.666666667</c:v>
                </c:pt>
                <c:pt idx="12">
                  <c:v>4361285.4333333336</c:v>
                </c:pt>
              </c:numCache>
            </c:numRef>
          </c:val>
          <c:extLst>
            <c:ext xmlns:c16="http://schemas.microsoft.com/office/drawing/2014/chart" uri="{C3380CC4-5D6E-409C-BE32-E72D297353CC}">
              <c16:uniqueId val="{0000000B-F037-489C-8842-17F2038AC395}"/>
            </c:ext>
          </c:extLst>
        </c:ser>
        <c:ser>
          <c:idx val="5"/>
          <c:order val="5"/>
          <c:tx>
            <c:strRef>
              <c:f>Pivot_table!$G$19:$G$20</c:f>
              <c:strCache>
                <c:ptCount val="1"/>
                <c:pt idx="0">
                  <c:v>Sorghum</c:v>
                </c:pt>
              </c:strCache>
            </c:strRef>
          </c:tx>
          <c:spPr>
            <a:solidFill>
              <a:schemeClr val="accent6"/>
            </a:solidFill>
            <a:ln>
              <a:noFill/>
            </a:ln>
            <a:effectLst/>
          </c:spPr>
          <c:invertIfNegative val="0"/>
          <c:cat>
            <c:strRef>
              <c:f>Pivot_table!$A$21:$A$34</c:f>
              <c:strCache>
                <c:ptCount val="13"/>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strCache>
            </c:strRef>
          </c:cat>
          <c:val>
            <c:numRef>
              <c:f>Pivot_table!$G$21:$G$34</c:f>
              <c:numCache>
                <c:formatCode>General</c:formatCode>
                <c:ptCount val="13"/>
                <c:pt idx="0">
                  <c:v>4034179.9</c:v>
                </c:pt>
                <c:pt idx="1">
                  <c:v>3451077.5333333332</c:v>
                </c:pt>
                <c:pt idx="2">
                  <c:v>3646075.1666666665</c:v>
                </c:pt>
                <c:pt idx="3">
                  <c:v>3583480.9</c:v>
                </c:pt>
                <c:pt idx="4">
                  <c:v>4195553.7</c:v>
                </c:pt>
                <c:pt idx="5">
                  <c:v>4301782.166666667</c:v>
                </c:pt>
                <c:pt idx="6">
                  <c:v>4343155.6333333338</c:v>
                </c:pt>
                <c:pt idx="7">
                  <c:v>4253397.4333333336</c:v>
                </c:pt>
                <c:pt idx="8">
                  <c:v>4143369.0333333332</c:v>
                </c:pt>
                <c:pt idx="9">
                  <c:v>4021078.3000000003</c:v>
                </c:pt>
                <c:pt idx="10">
                  <c:v>4130445.4666666668</c:v>
                </c:pt>
                <c:pt idx="11">
                  <c:v>4219178</c:v>
                </c:pt>
                <c:pt idx="12">
                  <c:v>4169188.0333333332</c:v>
                </c:pt>
              </c:numCache>
            </c:numRef>
          </c:val>
          <c:extLst>
            <c:ext xmlns:c16="http://schemas.microsoft.com/office/drawing/2014/chart" uri="{C3380CC4-5D6E-409C-BE32-E72D297353CC}">
              <c16:uniqueId val="{0000000C-F037-489C-8842-17F2038AC395}"/>
            </c:ext>
          </c:extLst>
        </c:ser>
        <c:ser>
          <c:idx val="6"/>
          <c:order val="6"/>
          <c:tx>
            <c:strRef>
              <c:f>Pivot_table!$H$19:$H$20</c:f>
              <c:strCache>
                <c:ptCount val="1"/>
                <c:pt idx="0">
                  <c:v>Yams</c:v>
                </c:pt>
              </c:strCache>
            </c:strRef>
          </c:tx>
          <c:spPr>
            <a:solidFill>
              <a:schemeClr val="accent1">
                <a:lumMod val="60000"/>
              </a:schemeClr>
            </a:solidFill>
            <a:ln>
              <a:noFill/>
            </a:ln>
            <a:effectLst/>
          </c:spPr>
          <c:invertIfNegative val="0"/>
          <c:cat>
            <c:strRef>
              <c:f>Pivot_table!$A$21:$A$34</c:f>
              <c:strCache>
                <c:ptCount val="13"/>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strCache>
            </c:strRef>
          </c:cat>
          <c:val>
            <c:numRef>
              <c:f>Pivot_table!$H$21:$H$34</c:f>
              <c:numCache>
                <c:formatCode>General</c:formatCode>
                <c:ptCount val="13"/>
                <c:pt idx="0">
                  <c:v>13403393.633333333</c:v>
                </c:pt>
                <c:pt idx="1">
                  <c:v>12538977.233333334</c:v>
                </c:pt>
                <c:pt idx="2">
                  <c:v>12271349.1</c:v>
                </c:pt>
                <c:pt idx="3">
                  <c:v>13571240.033333333</c:v>
                </c:pt>
                <c:pt idx="4">
                  <c:v>16350621.933333332</c:v>
                </c:pt>
                <c:pt idx="5">
                  <c:v>16500650.9</c:v>
                </c:pt>
                <c:pt idx="6">
                  <c:v>18113087.966666665</c:v>
                </c:pt>
                <c:pt idx="7">
                  <c:v>18268194.533333335</c:v>
                </c:pt>
                <c:pt idx="8">
                  <c:v>20267365.966666665</c:v>
                </c:pt>
                <c:pt idx="9">
                  <c:v>19900265.599999998</c:v>
                </c:pt>
                <c:pt idx="10">
                  <c:v>21160504.900000002</c:v>
                </c:pt>
                <c:pt idx="11">
                  <c:v>22463388.833333332</c:v>
                </c:pt>
                <c:pt idx="12">
                  <c:v>22858554.306666669</c:v>
                </c:pt>
              </c:numCache>
            </c:numRef>
          </c:val>
          <c:extLst>
            <c:ext xmlns:c16="http://schemas.microsoft.com/office/drawing/2014/chart" uri="{C3380CC4-5D6E-409C-BE32-E72D297353CC}">
              <c16:uniqueId val="{0000000D-F037-489C-8842-17F2038AC395}"/>
            </c:ext>
          </c:extLst>
        </c:ser>
        <c:dLbls>
          <c:showLegendKey val="0"/>
          <c:showVal val="0"/>
          <c:showCatName val="0"/>
          <c:showSerName val="0"/>
          <c:showPercent val="0"/>
          <c:showBubbleSize val="0"/>
        </c:dLbls>
        <c:gapWidth val="182"/>
        <c:axId val="1139307679"/>
        <c:axId val="1139308159"/>
      </c:barChart>
      <c:catAx>
        <c:axId val="11393076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9308159"/>
        <c:crosses val="autoZero"/>
        <c:auto val="1"/>
        <c:lblAlgn val="ctr"/>
        <c:lblOffset val="100"/>
        <c:noMultiLvlLbl val="0"/>
      </c:catAx>
      <c:valAx>
        <c:axId val="11393081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9307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95250</xdr:colOff>
      <xdr:row>2</xdr:row>
      <xdr:rowOff>12700</xdr:rowOff>
    </xdr:from>
    <xdr:to>
      <xdr:col>8</xdr:col>
      <xdr:colOff>146050</xdr:colOff>
      <xdr:row>16</xdr:row>
      <xdr:rowOff>171450</xdr:rowOff>
    </xdr:to>
    <xdr:graphicFrame macro="">
      <xdr:nvGraphicFramePr>
        <xdr:cNvPr id="3" name="Chart 2">
          <a:extLst>
            <a:ext uri="{FF2B5EF4-FFF2-40B4-BE49-F238E27FC236}">
              <a16:creationId xmlns:a16="http://schemas.microsoft.com/office/drawing/2014/main" id="{7BE33775-2B4E-F93D-2BA5-CC7C19D356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409575</xdr:colOff>
      <xdr:row>2</xdr:row>
      <xdr:rowOff>12700</xdr:rowOff>
    </xdr:from>
    <xdr:to>
      <xdr:col>15</xdr:col>
      <xdr:colOff>111125</xdr:colOff>
      <xdr:row>16</xdr:row>
      <xdr:rowOff>177800</xdr:rowOff>
    </xdr:to>
    <xdr:graphicFrame macro="">
      <xdr:nvGraphicFramePr>
        <xdr:cNvPr id="6" name="Chart 5">
          <a:extLst>
            <a:ext uri="{FF2B5EF4-FFF2-40B4-BE49-F238E27FC236}">
              <a16:creationId xmlns:a16="http://schemas.microsoft.com/office/drawing/2014/main" id="{865AB7B4-0593-D816-F045-1B01EEA904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930275</xdr:colOff>
      <xdr:row>34</xdr:row>
      <xdr:rowOff>95250</xdr:rowOff>
    </xdr:from>
    <xdr:to>
      <xdr:col>7</xdr:col>
      <xdr:colOff>333375</xdr:colOff>
      <xdr:row>49</xdr:row>
      <xdr:rowOff>76200</xdr:rowOff>
    </xdr:to>
    <xdr:graphicFrame macro="">
      <xdr:nvGraphicFramePr>
        <xdr:cNvPr id="7" name="Chart 6">
          <a:extLst>
            <a:ext uri="{FF2B5EF4-FFF2-40B4-BE49-F238E27FC236}">
              <a16:creationId xmlns:a16="http://schemas.microsoft.com/office/drawing/2014/main" id="{7B715092-FE11-A9AC-5620-A171225BFA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6350</xdr:colOff>
      <xdr:row>8</xdr:row>
      <xdr:rowOff>19050</xdr:rowOff>
    </xdr:from>
    <xdr:to>
      <xdr:col>2</xdr:col>
      <xdr:colOff>831850</xdr:colOff>
      <xdr:row>23</xdr:row>
      <xdr:rowOff>0</xdr:rowOff>
    </xdr:to>
    <xdr:graphicFrame macro="">
      <xdr:nvGraphicFramePr>
        <xdr:cNvPr id="3" name="Chart 2">
          <a:extLst>
            <a:ext uri="{FF2B5EF4-FFF2-40B4-BE49-F238E27FC236}">
              <a16:creationId xmlns:a16="http://schemas.microsoft.com/office/drawing/2014/main" id="{540CC5E5-3E0B-439F-A367-692A93A2A9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184150</xdr:colOff>
      <xdr:row>0</xdr:row>
      <xdr:rowOff>6350</xdr:rowOff>
    </xdr:from>
    <xdr:to>
      <xdr:col>10</xdr:col>
      <xdr:colOff>184150</xdr:colOff>
      <xdr:row>13</xdr:row>
      <xdr:rowOff>168272</xdr:rowOff>
    </xdr:to>
    <mc:AlternateContent xmlns:mc="http://schemas.openxmlformats.org/markup-compatibility/2006" xmlns:a14="http://schemas.microsoft.com/office/drawing/2010/main">
      <mc:Choice Requires="a14">
        <xdr:graphicFrame macro="">
          <xdr:nvGraphicFramePr>
            <xdr:cNvPr id="5" name="Crop Type 1">
              <a:extLst>
                <a:ext uri="{FF2B5EF4-FFF2-40B4-BE49-F238E27FC236}">
                  <a16:creationId xmlns:a16="http://schemas.microsoft.com/office/drawing/2014/main" id="{E0A9C0A2-2F56-AC34-904D-F83E30750243}"/>
                </a:ext>
              </a:extLst>
            </xdr:cNvPr>
            <xdr:cNvGraphicFramePr/>
          </xdr:nvGraphicFramePr>
          <xdr:xfrm>
            <a:off x="0" y="0"/>
            <a:ext cx="0" cy="0"/>
          </xdr:xfrm>
          <a:graphic>
            <a:graphicData uri="http://schemas.microsoft.com/office/drawing/2010/slicer">
              <sle:slicer xmlns:sle="http://schemas.microsoft.com/office/drawing/2010/slicer" name="Crop Type 1"/>
            </a:graphicData>
          </a:graphic>
        </xdr:graphicFrame>
      </mc:Choice>
      <mc:Fallback xmlns="">
        <xdr:sp macro="" textlink="">
          <xdr:nvSpPr>
            <xdr:cNvPr id="0" name=""/>
            <xdr:cNvSpPr>
              <a:spLocks noTextEdit="1"/>
            </xdr:cNvSpPr>
          </xdr:nvSpPr>
          <xdr:spPr>
            <a:xfrm>
              <a:off x="8794750" y="635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190500</xdr:colOff>
      <xdr:row>0</xdr:row>
      <xdr:rowOff>0</xdr:rowOff>
    </xdr:from>
    <xdr:to>
      <xdr:col>13</xdr:col>
      <xdr:colOff>190500</xdr:colOff>
      <xdr:row>13</xdr:row>
      <xdr:rowOff>161922</xdr:rowOff>
    </xdr:to>
    <mc:AlternateContent xmlns:mc="http://schemas.openxmlformats.org/markup-compatibility/2006" xmlns:a14="http://schemas.microsoft.com/office/drawing/2010/main">
      <mc:Choice Requires="a14">
        <xdr:graphicFrame macro="">
          <xdr:nvGraphicFramePr>
            <xdr:cNvPr id="6" name="Year">
              <a:extLst>
                <a:ext uri="{FF2B5EF4-FFF2-40B4-BE49-F238E27FC236}">
                  <a16:creationId xmlns:a16="http://schemas.microsoft.com/office/drawing/2014/main" id="{300AA87B-72CD-52AF-3704-1C1B85E7BA5D}"/>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0629900" y="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190500</xdr:colOff>
      <xdr:row>14</xdr:row>
      <xdr:rowOff>0</xdr:rowOff>
    </xdr:from>
    <xdr:to>
      <xdr:col>10</xdr:col>
      <xdr:colOff>444500</xdr:colOff>
      <xdr:row>28</xdr:row>
      <xdr:rowOff>34922</xdr:rowOff>
    </xdr:to>
    <mc:AlternateContent xmlns:mc="http://schemas.openxmlformats.org/markup-compatibility/2006" xmlns:a14="http://schemas.microsoft.com/office/drawing/2010/main">
      <mc:Choice Requires="a14">
        <xdr:graphicFrame macro="">
          <xdr:nvGraphicFramePr>
            <xdr:cNvPr id="7" name="Value">
              <a:extLst>
                <a:ext uri="{FF2B5EF4-FFF2-40B4-BE49-F238E27FC236}">
                  <a16:creationId xmlns:a16="http://schemas.microsoft.com/office/drawing/2014/main" id="{C561FB39-7D62-F461-587B-73C6BDA4F69E}"/>
                </a:ext>
              </a:extLst>
            </xdr:cNvPr>
            <xdr:cNvGraphicFramePr/>
          </xdr:nvGraphicFramePr>
          <xdr:xfrm>
            <a:off x="0" y="0"/>
            <a:ext cx="0" cy="0"/>
          </xdr:xfrm>
          <a:graphic>
            <a:graphicData uri="http://schemas.microsoft.com/office/drawing/2010/slicer">
              <sle:slicer xmlns:sle="http://schemas.microsoft.com/office/drawing/2010/slicer" name="Value"/>
            </a:graphicData>
          </a:graphic>
        </xdr:graphicFrame>
      </mc:Choice>
      <mc:Fallback xmlns="">
        <xdr:sp macro="" textlink="">
          <xdr:nvSpPr>
            <xdr:cNvPr id="0" name=""/>
            <xdr:cNvSpPr>
              <a:spLocks noTextEdit="1"/>
            </xdr:cNvSpPr>
          </xdr:nvSpPr>
          <xdr:spPr>
            <a:xfrm>
              <a:off x="8801100" y="2641600"/>
              <a:ext cx="2082800" cy="26130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844550</xdr:colOff>
      <xdr:row>8</xdr:row>
      <xdr:rowOff>19050</xdr:rowOff>
    </xdr:from>
    <xdr:to>
      <xdr:col>7</xdr:col>
      <xdr:colOff>165100</xdr:colOff>
      <xdr:row>23</xdr:row>
      <xdr:rowOff>0</xdr:rowOff>
    </xdr:to>
    <xdr:graphicFrame macro="">
      <xdr:nvGraphicFramePr>
        <xdr:cNvPr id="8" name="Chart 7">
          <a:extLst>
            <a:ext uri="{FF2B5EF4-FFF2-40B4-BE49-F238E27FC236}">
              <a16:creationId xmlns:a16="http://schemas.microsoft.com/office/drawing/2014/main" id="{58FED912-C660-473C-A5D2-76F34064E6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29.936240856485" createdVersion="8" refreshedVersion="8" minRefreshableVersion="3" recordCount="273" xr:uid="{06533178-7733-4171-8029-9CB8B005FB78}">
  <cacheSource type="worksheet">
    <worksheetSource name="Yield"/>
  </cacheSource>
  <cacheFields count="15">
    <cacheField name="Domain Code" numFmtId="0">
      <sharedItems/>
    </cacheField>
    <cacheField name="Domain" numFmtId="0">
      <sharedItems/>
    </cacheField>
    <cacheField name="Area Code (M49)" numFmtId="0">
      <sharedItems containsSemiMixedTypes="0" containsString="0" containsNumber="1" containsInteger="1" minValue="566" maxValue="566"/>
    </cacheField>
    <cacheField name="Country" numFmtId="0">
      <sharedItems/>
    </cacheField>
    <cacheField name="Element Code" numFmtId="0">
      <sharedItems containsSemiMixedTypes="0" containsString="0" containsNumber="1" containsInteger="1" minValue="5312" maxValue="5510"/>
    </cacheField>
    <cacheField name="Element" numFmtId="0">
      <sharedItems/>
    </cacheField>
    <cacheField name="Crop Code (CPC)" numFmtId="0">
      <sharedItems containsSemiMixedTypes="0" containsString="0" containsNumber="1" minValue="112" maxValue="1540"/>
    </cacheField>
    <cacheField name="Crop Type" numFmtId="0">
      <sharedItems count="7">
        <s v="Cassava, fresh"/>
        <s v="Groundnuts, excluding shelled"/>
        <s v="Maize (corn)"/>
        <s v="Millet"/>
        <s v="Rice"/>
        <s v="Sorghum"/>
        <s v="Yams"/>
      </sharedItems>
    </cacheField>
    <cacheField name="Year Code" numFmtId="0">
      <sharedItems containsSemiMixedTypes="0" containsString="0" containsNumber="1" containsInteger="1" minValue="2010" maxValue="2022"/>
    </cacheField>
    <cacheField name="Year" numFmtId="0">
      <sharedItems containsSemiMixedTypes="0" containsString="0" containsNumber="1" containsInteger="1" minValue="2010" maxValue="2022" count="13">
        <n v="2010"/>
        <n v="2011"/>
        <n v="2012"/>
        <n v="2013"/>
        <n v="2014"/>
        <n v="2015"/>
        <n v="2016"/>
        <n v="2017"/>
        <n v="2018"/>
        <n v="2019"/>
        <n v="2020"/>
        <n v="2021"/>
        <n v="2022"/>
      </sharedItems>
    </cacheField>
    <cacheField name="Unit" numFmtId="0">
      <sharedItems/>
    </cacheField>
    <cacheField name="Value" numFmtId="0">
      <sharedItems containsSemiMixedTypes="0" containsString="0" containsNumber="1" minValue="449.7" maxValue="65350850" count="273">
        <n v="3481900"/>
        <n v="12215.5"/>
        <n v="42533180"/>
        <n v="4120166"/>
        <n v="11210.8"/>
        <n v="46190248"/>
        <n v="6401996"/>
        <n v="7958.5"/>
        <n v="50950292"/>
        <n v="6741300"/>
        <n v="7032.3"/>
        <n v="47406770"/>
        <n v="7096300"/>
        <n v="7655.4"/>
        <n v="54324700"/>
        <n v="7900630"/>
        <n v="7265.9"/>
        <n v="57405060"/>
        <n v="6668996"/>
        <n v="9076.2999999999993"/>
        <n v="60529864"/>
        <n v="6761350"/>
        <n v="9073.7000000000007"/>
        <n v="61350199"/>
        <n v="6949400"/>
        <n v="9403.7999999999993"/>
        <n v="65350850"/>
        <n v="9776650"/>
        <n v="5827.1"/>
        <n v="56969160"/>
        <n v="9614230"/>
        <n v="5779.5"/>
        <n v="55565610"/>
        <n v="9979330"/>
        <n v="5835.8"/>
        <n v="58237500"/>
        <n v="10043720"/>
        <n v="6109.2"/>
        <n v="61359000.560000002"/>
        <n v="2789180"/>
        <n v="1362.1"/>
        <n v="3799240"/>
        <n v="2353680"/>
        <n v="1258.7"/>
        <n v="2962627"/>
        <n v="2659800"/>
        <n v="1245.8"/>
        <n v="3313500"/>
        <n v="2732700"/>
        <n v="905.5"/>
        <n v="2474530"/>
        <n v="2799773"/>
        <n v="1214.0999999999999"/>
        <n v="3399158"/>
        <n v="2801756"/>
        <n v="1237.5999999999999"/>
        <n v="3467446"/>
        <n v="3458710"/>
        <n v="1260.7"/>
        <n v="4360500"/>
        <n v="3596850"/>
        <n v="1257.0999999999999"/>
        <n v="4521450"/>
        <n v="3759976"/>
        <n v="1223.4000000000001"/>
        <n v="4600000"/>
        <n v="3601541"/>
        <n v="1209.8"/>
        <n v="4357032.01"/>
        <n v="3620190"/>
        <n v="1168.5999999999999"/>
        <n v="4230560"/>
        <n v="3702210"/>
        <n v="1141.9000000000001"/>
        <n v="4227520"/>
        <n v="3400000"/>
        <n v="1260"/>
        <n v="4284000"/>
        <n v="4149310"/>
        <n v="1850.2"/>
        <n v="7676850"/>
        <n v="5456540"/>
        <n v="1627.1"/>
        <n v="8878456"/>
        <n v="5751300"/>
        <n v="1511.8"/>
        <n v="8694900"/>
        <n v="5762700"/>
        <n v="1461.6"/>
        <n v="8422670"/>
        <n v="6346551"/>
        <n v="1700.2"/>
        <n v="10790600"/>
        <n v="5550360"/>
        <n v="1718.8"/>
        <n v="9540190"/>
        <n v="5904906"/>
        <n v="1783.7"/>
        <n v="10532340"/>
        <n v="6389296"/>
        <n v="1664.1"/>
        <n v="10632299"/>
        <n v="6541183"/>
        <n v="1671.6"/>
        <n v="10934149"/>
        <n v="6783924"/>
        <n v="1857.2"/>
        <n v="12598945"/>
        <n v="6048600"/>
        <n v="2050.6"/>
        <n v="12403300"/>
        <n v="6205280"/>
        <n v="2053.8000000000002"/>
        <n v="12744450"/>
        <n v="5800000"/>
        <n v="2232.6"/>
        <n v="12948920"/>
        <n v="4364140"/>
        <n v="1184.8"/>
        <n v="5170430"/>
        <n v="2827090"/>
        <n v="449.7"/>
        <n v="1271370"/>
        <n v="1328200"/>
        <n v="964.2"/>
        <n v="1280700"/>
        <n v="1485200"/>
        <n v="612.4"/>
        <n v="909560"/>
        <n v="1574400"/>
        <n v="1172.5999999999999"/>
        <n v="1846200"/>
        <n v="1742803"/>
        <n v="1037.3"/>
        <n v="1807810"/>
        <n v="1737830"/>
        <n v="855.8"/>
        <n v="1487220"/>
        <n v="1800069"/>
        <n v="849"/>
        <n v="1528250"/>
        <n v="1734330"/>
        <n v="1083.5999999999999"/>
        <n v="1879340"/>
        <n v="1747800"/>
        <n v="1101.4000000000001"/>
        <n v="1925075"/>
        <n v="1762280"/>
        <n v="1081.2"/>
        <n v="1905430"/>
        <n v="1767390"/>
        <n v="1090.3"/>
        <n v="1926950"/>
        <n v="2000000"/>
        <n v="970.6"/>
        <n v="1941220"/>
        <n v="2432630"/>
        <n v="1838.6"/>
        <n v="4472520"/>
        <n v="2269410"/>
        <n v="2032.5"/>
        <n v="4612614"/>
        <n v="2863815"/>
        <n v="1897.1"/>
        <n v="5432930"/>
        <n v="2931800"/>
        <n v="1984.5"/>
        <n v="5818200"/>
        <n v="3095900"/>
        <n v="2160.9"/>
        <n v="6690000"/>
        <n v="3651200"/>
        <n v="2074.1999999999998"/>
        <n v="7573400"/>
        <n v="3898900"/>
        <n v="2003.7"/>
        <n v="7812200"/>
        <n v="3765000"/>
        <n v="2081"/>
        <n v="7835100"/>
        <n v="4065500"/>
        <n v="2067"/>
        <n v="8403300"/>
        <n v="4126670"/>
        <n v="2044.1"/>
        <n v="8435510"/>
        <n v="4195100"/>
        <n v="1947.9"/>
        <n v="8171800"/>
        <n v="4320100"/>
        <n v="1931"/>
        <n v="8342000"/>
        <n v="4580000"/>
        <n v="1856.3"/>
        <n v="8502000"/>
        <n v="4960130"/>
        <n v="1439.7"/>
        <n v="7140970"/>
        <n v="4661867"/>
        <n v="1220.5999999999999"/>
        <n v="5690145"/>
        <n v="5099975"/>
        <n v="1144.5"/>
        <n v="5837106"/>
        <n v="5449200"/>
        <n v="972.7"/>
        <n v="5300270"/>
        <n v="5702160"/>
        <n v="1207.0999999999999"/>
        <n v="6883294"/>
        <n v="5899134"/>
        <n v="1187.5"/>
        <n v="7005025"/>
        <n v="5472010"/>
        <n v="1380.9"/>
        <n v="7556076"/>
        <n v="5820000"/>
        <n v="1192.3"/>
        <n v="6939000"/>
        <n v="5628899"/>
        <n v="1208.0999999999999"/>
        <n v="6800000"/>
        <n v="5397000"/>
        <n v="1234.9000000000001"/>
        <n v="6665000"/>
        <n v="5799600"/>
        <n v="1136.4000000000001"/>
        <n v="6590600"/>
        <n v="5930900"/>
        <n v="1134"/>
        <n v="6725500"/>
        <n v="5700000"/>
        <n v="1194.0999999999999"/>
        <n v="6806370"/>
        <n v="2868990"/>
        <n v="13010.9"/>
        <n v="37328180"/>
        <n v="4475356"/>
        <n v="7403.7"/>
        <n v="33134172"/>
        <n v="4487946"/>
        <n v="7201.3"/>
        <n v="32318900"/>
        <n v="5088300"/>
        <n v="7000.1"/>
        <n v="35618420"/>
        <n v="5333871"/>
        <n v="8194.7999999999993"/>
        <n v="43709800"/>
        <n v="5389870"/>
        <n v="8182.7"/>
        <n v="44103900"/>
        <n v="5347483"/>
        <n v="9159.9"/>
        <n v="48982621"/>
        <n v="5276098"/>
        <n v="9385.6"/>
        <n v="49519100"/>
        <n v="5427899"/>
        <n v="10199.9"/>
        <n v="55363999"/>
        <n v="6778080"/>
        <n v="7806.8"/>
        <n v="52914910"/>
        <n v="7128080"/>
        <n v="7904.7"/>
        <n v="56345530"/>
        <n v="7498130"/>
        <n v="7986.5"/>
        <n v="59884050"/>
        <n v="7467286"/>
        <n v="8182.4"/>
        <n v="61100194.520000003"/>
      </sharedItems>
    </cacheField>
    <cacheField name="Flag" numFmtId="0">
      <sharedItems/>
    </cacheField>
    <cacheField name="Flag Description" numFmtId="0">
      <sharedItems/>
    </cacheField>
    <cacheField name="Note" numFmtId="0">
      <sharedItems containsBlank="1"/>
    </cacheField>
  </cacheFields>
  <extLst>
    <ext xmlns:x14="http://schemas.microsoft.com/office/spreadsheetml/2009/9/main" uri="{725AE2AE-9491-48be-B2B4-4EB974FC3084}">
      <x14:pivotCacheDefinition pivotCacheId="804218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3">
  <r>
    <s v="QCL"/>
    <s v="Crops and livestock products"/>
    <n v="566"/>
    <s v="Nigeria"/>
    <n v="5312"/>
    <s v="Area harvested"/>
    <n v="1520.01"/>
    <x v="0"/>
    <n v="2010"/>
    <x v="0"/>
    <s v="ha"/>
    <x v="0"/>
    <s v="A"/>
    <s v="Official figure"/>
    <m/>
  </r>
  <r>
    <s v="QCL"/>
    <s v="Crops and livestock products"/>
    <n v="566"/>
    <s v="Nigeria"/>
    <n v="5412"/>
    <s v="Yield"/>
    <n v="1520.01"/>
    <x v="0"/>
    <n v="2010"/>
    <x v="0"/>
    <s v="kg/ha"/>
    <x v="1"/>
    <s v="A"/>
    <s v="Official figure"/>
    <m/>
  </r>
  <r>
    <s v="QCL"/>
    <s v="Crops and livestock products"/>
    <n v="566"/>
    <s v="Nigeria"/>
    <n v="5510"/>
    <s v="Production"/>
    <n v="1520.01"/>
    <x v="0"/>
    <n v="2010"/>
    <x v="0"/>
    <s v="t"/>
    <x v="2"/>
    <s v="A"/>
    <s v="Official figure"/>
    <m/>
  </r>
  <r>
    <s v="QCL"/>
    <s v="Crops and livestock products"/>
    <n v="566"/>
    <s v="Nigeria"/>
    <n v="5312"/>
    <s v="Area harvested"/>
    <n v="1520.01"/>
    <x v="0"/>
    <n v="2011"/>
    <x v="1"/>
    <s v="ha"/>
    <x v="3"/>
    <s v="A"/>
    <s v="Official figure"/>
    <m/>
  </r>
  <r>
    <s v="QCL"/>
    <s v="Crops and livestock products"/>
    <n v="566"/>
    <s v="Nigeria"/>
    <n v="5412"/>
    <s v="Yield"/>
    <n v="1520.01"/>
    <x v="0"/>
    <n v="2011"/>
    <x v="1"/>
    <s v="kg/ha"/>
    <x v="4"/>
    <s v="A"/>
    <s v="Official figure"/>
    <m/>
  </r>
  <r>
    <s v="QCL"/>
    <s v="Crops and livestock products"/>
    <n v="566"/>
    <s v="Nigeria"/>
    <n v="5510"/>
    <s v="Production"/>
    <n v="1520.01"/>
    <x v="0"/>
    <n v="2011"/>
    <x v="1"/>
    <s v="t"/>
    <x v="5"/>
    <s v="A"/>
    <s v="Official figure"/>
    <m/>
  </r>
  <r>
    <s v="QCL"/>
    <s v="Crops and livestock products"/>
    <n v="566"/>
    <s v="Nigeria"/>
    <n v="5312"/>
    <s v="Area harvested"/>
    <n v="1520.01"/>
    <x v="0"/>
    <n v="2012"/>
    <x v="2"/>
    <s v="ha"/>
    <x v="6"/>
    <s v="A"/>
    <s v="Official figure"/>
    <m/>
  </r>
  <r>
    <s v="QCL"/>
    <s v="Crops and livestock products"/>
    <n v="566"/>
    <s v="Nigeria"/>
    <n v="5412"/>
    <s v="Yield"/>
    <n v="1520.01"/>
    <x v="0"/>
    <n v="2012"/>
    <x v="2"/>
    <s v="kg/ha"/>
    <x v="7"/>
    <s v="A"/>
    <s v="Official figure"/>
    <m/>
  </r>
  <r>
    <s v="QCL"/>
    <s v="Crops and livestock products"/>
    <n v="566"/>
    <s v="Nigeria"/>
    <n v="5510"/>
    <s v="Production"/>
    <n v="1520.01"/>
    <x v="0"/>
    <n v="2012"/>
    <x v="2"/>
    <s v="t"/>
    <x v="8"/>
    <s v="A"/>
    <s v="Official figure"/>
    <m/>
  </r>
  <r>
    <s v="QCL"/>
    <s v="Crops and livestock products"/>
    <n v="566"/>
    <s v="Nigeria"/>
    <n v="5312"/>
    <s v="Area harvested"/>
    <n v="1520.01"/>
    <x v="0"/>
    <n v="2013"/>
    <x v="3"/>
    <s v="ha"/>
    <x v="9"/>
    <s v="A"/>
    <s v="Official figure"/>
    <m/>
  </r>
  <r>
    <s v="QCL"/>
    <s v="Crops and livestock products"/>
    <n v="566"/>
    <s v="Nigeria"/>
    <n v="5412"/>
    <s v="Yield"/>
    <n v="1520.01"/>
    <x v="0"/>
    <n v="2013"/>
    <x v="3"/>
    <s v="kg/ha"/>
    <x v="10"/>
    <s v="A"/>
    <s v="Official figure"/>
    <m/>
  </r>
  <r>
    <s v="QCL"/>
    <s v="Crops and livestock products"/>
    <n v="566"/>
    <s v="Nigeria"/>
    <n v="5510"/>
    <s v="Production"/>
    <n v="1520.01"/>
    <x v="0"/>
    <n v="2013"/>
    <x v="3"/>
    <s v="t"/>
    <x v="11"/>
    <s v="A"/>
    <s v="Official figure"/>
    <m/>
  </r>
  <r>
    <s v="QCL"/>
    <s v="Crops and livestock products"/>
    <n v="566"/>
    <s v="Nigeria"/>
    <n v="5312"/>
    <s v="Area harvested"/>
    <n v="1520.01"/>
    <x v="0"/>
    <n v="2014"/>
    <x v="4"/>
    <s v="ha"/>
    <x v="12"/>
    <s v="A"/>
    <s v="Official figure"/>
    <m/>
  </r>
  <r>
    <s v="QCL"/>
    <s v="Crops and livestock products"/>
    <n v="566"/>
    <s v="Nigeria"/>
    <n v="5412"/>
    <s v="Yield"/>
    <n v="1520.01"/>
    <x v="0"/>
    <n v="2014"/>
    <x v="4"/>
    <s v="kg/ha"/>
    <x v="13"/>
    <s v="A"/>
    <s v="Official figure"/>
    <m/>
  </r>
  <r>
    <s v="QCL"/>
    <s v="Crops and livestock products"/>
    <n v="566"/>
    <s v="Nigeria"/>
    <n v="5510"/>
    <s v="Production"/>
    <n v="1520.01"/>
    <x v="0"/>
    <n v="2014"/>
    <x v="4"/>
    <s v="t"/>
    <x v="14"/>
    <s v="A"/>
    <s v="Official figure"/>
    <m/>
  </r>
  <r>
    <s v="QCL"/>
    <s v="Crops and livestock products"/>
    <n v="566"/>
    <s v="Nigeria"/>
    <n v="5312"/>
    <s v="Area harvested"/>
    <n v="1520.01"/>
    <x v="0"/>
    <n v="2015"/>
    <x v="5"/>
    <s v="ha"/>
    <x v="15"/>
    <s v="A"/>
    <s v="Official figure"/>
    <m/>
  </r>
  <r>
    <s v="QCL"/>
    <s v="Crops and livestock products"/>
    <n v="566"/>
    <s v="Nigeria"/>
    <n v="5412"/>
    <s v="Yield"/>
    <n v="1520.01"/>
    <x v="0"/>
    <n v="2015"/>
    <x v="5"/>
    <s v="kg/ha"/>
    <x v="16"/>
    <s v="A"/>
    <s v="Official figure"/>
    <m/>
  </r>
  <r>
    <s v="QCL"/>
    <s v="Crops and livestock products"/>
    <n v="566"/>
    <s v="Nigeria"/>
    <n v="5510"/>
    <s v="Production"/>
    <n v="1520.01"/>
    <x v="0"/>
    <n v="2015"/>
    <x v="5"/>
    <s v="t"/>
    <x v="17"/>
    <s v="A"/>
    <s v="Official figure"/>
    <m/>
  </r>
  <r>
    <s v="QCL"/>
    <s v="Crops and livestock products"/>
    <n v="566"/>
    <s v="Nigeria"/>
    <n v="5312"/>
    <s v="Area harvested"/>
    <n v="1520.01"/>
    <x v="0"/>
    <n v="2016"/>
    <x v="6"/>
    <s v="ha"/>
    <x v="18"/>
    <s v="A"/>
    <s v="Official figure"/>
    <m/>
  </r>
  <r>
    <s v="QCL"/>
    <s v="Crops and livestock products"/>
    <n v="566"/>
    <s v="Nigeria"/>
    <n v="5412"/>
    <s v="Yield"/>
    <n v="1520.01"/>
    <x v="0"/>
    <n v="2016"/>
    <x v="6"/>
    <s v="kg/ha"/>
    <x v="19"/>
    <s v="A"/>
    <s v="Official figure"/>
    <m/>
  </r>
  <r>
    <s v="QCL"/>
    <s v="Crops and livestock products"/>
    <n v="566"/>
    <s v="Nigeria"/>
    <n v="5510"/>
    <s v="Production"/>
    <n v="1520.01"/>
    <x v="0"/>
    <n v="2016"/>
    <x v="6"/>
    <s v="t"/>
    <x v="20"/>
    <s v="A"/>
    <s v="Official figure"/>
    <m/>
  </r>
  <r>
    <s v="QCL"/>
    <s v="Crops and livestock products"/>
    <n v="566"/>
    <s v="Nigeria"/>
    <n v="5312"/>
    <s v="Area harvested"/>
    <n v="1520.01"/>
    <x v="0"/>
    <n v="2017"/>
    <x v="7"/>
    <s v="ha"/>
    <x v="21"/>
    <s v="A"/>
    <s v="Official figure"/>
    <m/>
  </r>
  <r>
    <s v="QCL"/>
    <s v="Crops and livestock products"/>
    <n v="566"/>
    <s v="Nigeria"/>
    <n v="5412"/>
    <s v="Yield"/>
    <n v="1520.01"/>
    <x v="0"/>
    <n v="2017"/>
    <x v="7"/>
    <s v="kg/ha"/>
    <x v="22"/>
    <s v="A"/>
    <s v="Official figure"/>
    <m/>
  </r>
  <r>
    <s v="QCL"/>
    <s v="Crops and livestock products"/>
    <n v="566"/>
    <s v="Nigeria"/>
    <n v="5510"/>
    <s v="Production"/>
    <n v="1520.01"/>
    <x v="0"/>
    <n v="2017"/>
    <x v="7"/>
    <s v="t"/>
    <x v="23"/>
    <s v="A"/>
    <s v="Official figure"/>
    <m/>
  </r>
  <r>
    <s v="QCL"/>
    <s v="Crops and livestock products"/>
    <n v="566"/>
    <s v="Nigeria"/>
    <n v="5312"/>
    <s v="Area harvested"/>
    <n v="1520.01"/>
    <x v="0"/>
    <n v="2018"/>
    <x v="8"/>
    <s v="ha"/>
    <x v="24"/>
    <s v="A"/>
    <s v="Official figure"/>
    <m/>
  </r>
  <r>
    <s v="QCL"/>
    <s v="Crops and livestock products"/>
    <n v="566"/>
    <s v="Nigeria"/>
    <n v="5412"/>
    <s v="Yield"/>
    <n v="1520.01"/>
    <x v="0"/>
    <n v="2018"/>
    <x v="8"/>
    <s v="kg/ha"/>
    <x v="25"/>
    <s v="A"/>
    <s v="Official figure"/>
    <m/>
  </r>
  <r>
    <s v="QCL"/>
    <s v="Crops and livestock products"/>
    <n v="566"/>
    <s v="Nigeria"/>
    <n v="5510"/>
    <s v="Production"/>
    <n v="1520.01"/>
    <x v="0"/>
    <n v="2018"/>
    <x v="8"/>
    <s v="t"/>
    <x v="26"/>
    <s v="A"/>
    <s v="Official figure"/>
    <m/>
  </r>
  <r>
    <s v="QCL"/>
    <s v="Crops and livestock products"/>
    <n v="566"/>
    <s v="Nigeria"/>
    <n v="5312"/>
    <s v="Area harvested"/>
    <n v="1520.01"/>
    <x v="0"/>
    <n v="2019"/>
    <x v="9"/>
    <s v="ha"/>
    <x v="27"/>
    <s v="A"/>
    <s v="Official figure"/>
    <m/>
  </r>
  <r>
    <s v="QCL"/>
    <s v="Crops and livestock products"/>
    <n v="566"/>
    <s v="Nigeria"/>
    <n v="5412"/>
    <s v="Yield"/>
    <n v="1520.01"/>
    <x v="0"/>
    <n v="2019"/>
    <x v="9"/>
    <s v="kg/ha"/>
    <x v="28"/>
    <s v="A"/>
    <s v="Official figure"/>
    <m/>
  </r>
  <r>
    <s v="QCL"/>
    <s v="Crops and livestock products"/>
    <n v="566"/>
    <s v="Nigeria"/>
    <n v="5510"/>
    <s v="Production"/>
    <n v="1520.01"/>
    <x v="0"/>
    <n v="2019"/>
    <x v="9"/>
    <s v="t"/>
    <x v="29"/>
    <s v="A"/>
    <s v="Official figure"/>
    <m/>
  </r>
  <r>
    <s v="QCL"/>
    <s v="Crops and livestock products"/>
    <n v="566"/>
    <s v="Nigeria"/>
    <n v="5312"/>
    <s v="Area harvested"/>
    <n v="1520.01"/>
    <x v="0"/>
    <n v="2020"/>
    <x v="10"/>
    <s v="ha"/>
    <x v="30"/>
    <s v="A"/>
    <s v="Official figure"/>
    <m/>
  </r>
  <r>
    <s v="QCL"/>
    <s v="Crops and livestock products"/>
    <n v="566"/>
    <s v="Nigeria"/>
    <n v="5412"/>
    <s v="Yield"/>
    <n v="1520.01"/>
    <x v="0"/>
    <n v="2020"/>
    <x v="10"/>
    <s v="kg/ha"/>
    <x v="31"/>
    <s v="A"/>
    <s v="Official figure"/>
    <m/>
  </r>
  <r>
    <s v="QCL"/>
    <s v="Crops and livestock products"/>
    <n v="566"/>
    <s v="Nigeria"/>
    <n v="5510"/>
    <s v="Production"/>
    <n v="1520.01"/>
    <x v="0"/>
    <n v="2020"/>
    <x v="10"/>
    <s v="t"/>
    <x v="32"/>
    <s v="A"/>
    <s v="Official figure"/>
    <m/>
  </r>
  <r>
    <s v="QCL"/>
    <s v="Crops and livestock products"/>
    <n v="566"/>
    <s v="Nigeria"/>
    <n v="5312"/>
    <s v="Area harvested"/>
    <n v="1520.01"/>
    <x v="0"/>
    <n v="2021"/>
    <x v="11"/>
    <s v="ha"/>
    <x v="33"/>
    <s v="A"/>
    <s v="Official figure"/>
    <m/>
  </r>
  <r>
    <s v="QCL"/>
    <s v="Crops and livestock products"/>
    <n v="566"/>
    <s v="Nigeria"/>
    <n v="5412"/>
    <s v="Yield"/>
    <n v="1520.01"/>
    <x v="0"/>
    <n v="2021"/>
    <x v="11"/>
    <s v="kg/ha"/>
    <x v="34"/>
    <s v="A"/>
    <s v="Official figure"/>
    <m/>
  </r>
  <r>
    <s v="QCL"/>
    <s v="Crops and livestock products"/>
    <n v="566"/>
    <s v="Nigeria"/>
    <n v="5510"/>
    <s v="Production"/>
    <n v="1520.01"/>
    <x v="0"/>
    <n v="2021"/>
    <x v="11"/>
    <s v="t"/>
    <x v="35"/>
    <s v="A"/>
    <s v="Official figure"/>
    <m/>
  </r>
  <r>
    <s v="QCL"/>
    <s v="Crops and livestock products"/>
    <n v="566"/>
    <s v="Nigeria"/>
    <n v="5312"/>
    <s v="Area harvested"/>
    <n v="1520.01"/>
    <x v="0"/>
    <n v="2022"/>
    <x v="12"/>
    <s v="ha"/>
    <x v="36"/>
    <s v="I"/>
    <s v="Value imputed by a receiving agency"/>
    <m/>
  </r>
  <r>
    <s v="QCL"/>
    <s v="Crops and livestock products"/>
    <n v="566"/>
    <s v="Nigeria"/>
    <n v="5412"/>
    <s v="Yield"/>
    <n v="1520.01"/>
    <x v="0"/>
    <n v="2022"/>
    <x v="12"/>
    <s v="kg/ha"/>
    <x v="37"/>
    <s v="E"/>
    <s v="Estimated value"/>
    <m/>
  </r>
  <r>
    <s v="QCL"/>
    <s v="Crops and livestock products"/>
    <n v="566"/>
    <s v="Nigeria"/>
    <n v="5510"/>
    <s v="Production"/>
    <n v="1520.01"/>
    <x v="0"/>
    <n v="2022"/>
    <x v="12"/>
    <s v="t"/>
    <x v="38"/>
    <s v="I"/>
    <s v="Value imputed by a receiving agency"/>
    <m/>
  </r>
  <r>
    <s v="QCL"/>
    <s v="Crops and livestock products"/>
    <n v="566"/>
    <s v="Nigeria"/>
    <n v="5312"/>
    <s v="Area harvested"/>
    <n v="142"/>
    <x v="1"/>
    <n v="2010"/>
    <x v="0"/>
    <s v="ha"/>
    <x v="39"/>
    <s v="A"/>
    <s v="Official figure"/>
    <m/>
  </r>
  <r>
    <s v="QCL"/>
    <s v="Crops and livestock products"/>
    <n v="566"/>
    <s v="Nigeria"/>
    <n v="5412"/>
    <s v="Yield"/>
    <n v="142"/>
    <x v="1"/>
    <n v="2010"/>
    <x v="0"/>
    <s v="kg/ha"/>
    <x v="40"/>
    <s v="A"/>
    <s v="Official figure"/>
    <m/>
  </r>
  <r>
    <s v="QCL"/>
    <s v="Crops and livestock products"/>
    <n v="566"/>
    <s v="Nigeria"/>
    <n v="5510"/>
    <s v="Production"/>
    <n v="142"/>
    <x v="1"/>
    <n v="2010"/>
    <x v="0"/>
    <s v="t"/>
    <x v="41"/>
    <s v="A"/>
    <s v="Official figure"/>
    <m/>
  </r>
  <r>
    <s v="QCL"/>
    <s v="Crops and livestock products"/>
    <n v="566"/>
    <s v="Nigeria"/>
    <n v="5312"/>
    <s v="Area harvested"/>
    <n v="142"/>
    <x v="1"/>
    <n v="2011"/>
    <x v="1"/>
    <s v="ha"/>
    <x v="42"/>
    <s v="A"/>
    <s v="Official figure"/>
    <m/>
  </r>
  <r>
    <s v="QCL"/>
    <s v="Crops and livestock products"/>
    <n v="566"/>
    <s v="Nigeria"/>
    <n v="5412"/>
    <s v="Yield"/>
    <n v="142"/>
    <x v="1"/>
    <n v="2011"/>
    <x v="1"/>
    <s v="kg/ha"/>
    <x v="43"/>
    <s v="A"/>
    <s v="Official figure"/>
    <m/>
  </r>
  <r>
    <s v="QCL"/>
    <s v="Crops and livestock products"/>
    <n v="566"/>
    <s v="Nigeria"/>
    <n v="5510"/>
    <s v="Production"/>
    <n v="142"/>
    <x v="1"/>
    <n v="2011"/>
    <x v="1"/>
    <s v="t"/>
    <x v="44"/>
    <s v="A"/>
    <s v="Official figure"/>
    <m/>
  </r>
  <r>
    <s v="QCL"/>
    <s v="Crops and livestock products"/>
    <n v="566"/>
    <s v="Nigeria"/>
    <n v="5312"/>
    <s v="Area harvested"/>
    <n v="142"/>
    <x v="1"/>
    <n v="2012"/>
    <x v="2"/>
    <s v="ha"/>
    <x v="45"/>
    <s v="A"/>
    <s v="Official figure"/>
    <m/>
  </r>
  <r>
    <s v="QCL"/>
    <s v="Crops and livestock products"/>
    <n v="566"/>
    <s v="Nigeria"/>
    <n v="5412"/>
    <s v="Yield"/>
    <n v="142"/>
    <x v="1"/>
    <n v="2012"/>
    <x v="2"/>
    <s v="kg/ha"/>
    <x v="46"/>
    <s v="A"/>
    <s v="Official figure"/>
    <m/>
  </r>
  <r>
    <s v="QCL"/>
    <s v="Crops and livestock products"/>
    <n v="566"/>
    <s v="Nigeria"/>
    <n v="5510"/>
    <s v="Production"/>
    <n v="142"/>
    <x v="1"/>
    <n v="2012"/>
    <x v="2"/>
    <s v="t"/>
    <x v="47"/>
    <s v="A"/>
    <s v="Official figure"/>
    <m/>
  </r>
  <r>
    <s v="QCL"/>
    <s v="Crops and livestock products"/>
    <n v="566"/>
    <s v="Nigeria"/>
    <n v="5312"/>
    <s v="Area harvested"/>
    <n v="142"/>
    <x v="1"/>
    <n v="2013"/>
    <x v="3"/>
    <s v="ha"/>
    <x v="48"/>
    <s v="A"/>
    <s v="Official figure"/>
    <m/>
  </r>
  <r>
    <s v="QCL"/>
    <s v="Crops and livestock products"/>
    <n v="566"/>
    <s v="Nigeria"/>
    <n v="5412"/>
    <s v="Yield"/>
    <n v="142"/>
    <x v="1"/>
    <n v="2013"/>
    <x v="3"/>
    <s v="kg/ha"/>
    <x v="49"/>
    <s v="A"/>
    <s v="Official figure"/>
    <m/>
  </r>
  <r>
    <s v="QCL"/>
    <s v="Crops and livestock products"/>
    <n v="566"/>
    <s v="Nigeria"/>
    <n v="5510"/>
    <s v="Production"/>
    <n v="142"/>
    <x v="1"/>
    <n v="2013"/>
    <x v="3"/>
    <s v="t"/>
    <x v="50"/>
    <s v="A"/>
    <s v="Official figure"/>
    <m/>
  </r>
  <r>
    <s v="QCL"/>
    <s v="Crops and livestock products"/>
    <n v="566"/>
    <s v="Nigeria"/>
    <n v="5312"/>
    <s v="Area harvested"/>
    <n v="142"/>
    <x v="1"/>
    <n v="2014"/>
    <x v="4"/>
    <s v="ha"/>
    <x v="51"/>
    <s v="A"/>
    <s v="Official figure"/>
    <m/>
  </r>
  <r>
    <s v="QCL"/>
    <s v="Crops and livestock products"/>
    <n v="566"/>
    <s v="Nigeria"/>
    <n v="5412"/>
    <s v="Yield"/>
    <n v="142"/>
    <x v="1"/>
    <n v="2014"/>
    <x v="4"/>
    <s v="kg/ha"/>
    <x v="52"/>
    <s v="A"/>
    <s v="Official figure"/>
    <m/>
  </r>
  <r>
    <s v="QCL"/>
    <s v="Crops and livestock products"/>
    <n v="566"/>
    <s v="Nigeria"/>
    <n v="5510"/>
    <s v="Production"/>
    <n v="142"/>
    <x v="1"/>
    <n v="2014"/>
    <x v="4"/>
    <s v="t"/>
    <x v="53"/>
    <s v="A"/>
    <s v="Official figure"/>
    <m/>
  </r>
  <r>
    <s v="QCL"/>
    <s v="Crops and livestock products"/>
    <n v="566"/>
    <s v="Nigeria"/>
    <n v="5312"/>
    <s v="Area harvested"/>
    <n v="142"/>
    <x v="1"/>
    <n v="2015"/>
    <x v="5"/>
    <s v="ha"/>
    <x v="54"/>
    <s v="A"/>
    <s v="Official figure"/>
    <m/>
  </r>
  <r>
    <s v="QCL"/>
    <s v="Crops and livestock products"/>
    <n v="566"/>
    <s v="Nigeria"/>
    <n v="5412"/>
    <s v="Yield"/>
    <n v="142"/>
    <x v="1"/>
    <n v="2015"/>
    <x v="5"/>
    <s v="kg/ha"/>
    <x v="55"/>
    <s v="A"/>
    <s v="Official figure"/>
    <m/>
  </r>
  <r>
    <s v="QCL"/>
    <s v="Crops and livestock products"/>
    <n v="566"/>
    <s v="Nigeria"/>
    <n v="5510"/>
    <s v="Production"/>
    <n v="142"/>
    <x v="1"/>
    <n v="2015"/>
    <x v="5"/>
    <s v="t"/>
    <x v="56"/>
    <s v="A"/>
    <s v="Official figure"/>
    <m/>
  </r>
  <r>
    <s v="QCL"/>
    <s v="Crops and livestock products"/>
    <n v="566"/>
    <s v="Nigeria"/>
    <n v="5312"/>
    <s v="Area harvested"/>
    <n v="142"/>
    <x v="1"/>
    <n v="2016"/>
    <x v="6"/>
    <s v="ha"/>
    <x v="57"/>
    <s v="A"/>
    <s v="Official figure"/>
    <m/>
  </r>
  <r>
    <s v="QCL"/>
    <s v="Crops and livestock products"/>
    <n v="566"/>
    <s v="Nigeria"/>
    <n v="5412"/>
    <s v="Yield"/>
    <n v="142"/>
    <x v="1"/>
    <n v="2016"/>
    <x v="6"/>
    <s v="kg/ha"/>
    <x v="58"/>
    <s v="A"/>
    <s v="Official figure"/>
    <m/>
  </r>
  <r>
    <s v="QCL"/>
    <s v="Crops and livestock products"/>
    <n v="566"/>
    <s v="Nigeria"/>
    <n v="5510"/>
    <s v="Production"/>
    <n v="142"/>
    <x v="1"/>
    <n v="2016"/>
    <x v="6"/>
    <s v="t"/>
    <x v="59"/>
    <s v="A"/>
    <s v="Official figure"/>
    <m/>
  </r>
  <r>
    <s v="QCL"/>
    <s v="Crops and livestock products"/>
    <n v="566"/>
    <s v="Nigeria"/>
    <n v="5312"/>
    <s v="Area harvested"/>
    <n v="142"/>
    <x v="1"/>
    <n v="2017"/>
    <x v="7"/>
    <s v="ha"/>
    <x v="60"/>
    <s v="A"/>
    <s v="Official figure"/>
    <m/>
  </r>
  <r>
    <s v="QCL"/>
    <s v="Crops and livestock products"/>
    <n v="566"/>
    <s v="Nigeria"/>
    <n v="5412"/>
    <s v="Yield"/>
    <n v="142"/>
    <x v="1"/>
    <n v="2017"/>
    <x v="7"/>
    <s v="kg/ha"/>
    <x v="61"/>
    <s v="A"/>
    <s v="Official figure"/>
    <m/>
  </r>
  <r>
    <s v="QCL"/>
    <s v="Crops and livestock products"/>
    <n v="566"/>
    <s v="Nigeria"/>
    <n v="5510"/>
    <s v="Production"/>
    <n v="142"/>
    <x v="1"/>
    <n v="2017"/>
    <x v="7"/>
    <s v="t"/>
    <x v="62"/>
    <s v="A"/>
    <s v="Official figure"/>
    <m/>
  </r>
  <r>
    <s v="QCL"/>
    <s v="Crops and livestock products"/>
    <n v="566"/>
    <s v="Nigeria"/>
    <n v="5312"/>
    <s v="Area harvested"/>
    <n v="142"/>
    <x v="1"/>
    <n v="2018"/>
    <x v="8"/>
    <s v="ha"/>
    <x v="63"/>
    <s v="I"/>
    <s v="Value imputed by a receiving agency"/>
    <m/>
  </r>
  <r>
    <s v="QCL"/>
    <s v="Crops and livestock products"/>
    <n v="566"/>
    <s v="Nigeria"/>
    <n v="5412"/>
    <s v="Yield"/>
    <n v="142"/>
    <x v="1"/>
    <n v="2018"/>
    <x v="8"/>
    <s v="kg/ha"/>
    <x v="64"/>
    <s v="E"/>
    <s v="Estimated value"/>
    <m/>
  </r>
  <r>
    <s v="QCL"/>
    <s v="Crops and livestock products"/>
    <n v="566"/>
    <s v="Nigeria"/>
    <n v="5510"/>
    <s v="Production"/>
    <n v="142"/>
    <x v="1"/>
    <n v="2018"/>
    <x v="8"/>
    <s v="t"/>
    <x v="65"/>
    <s v="E"/>
    <s v="Estimated value"/>
    <m/>
  </r>
  <r>
    <s v="QCL"/>
    <s v="Crops and livestock products"/>
    <n v="566"/>
    <s v="Nigeria"/>
    <n v="5312"/>
    <s v="Area harvested"/>
    <n v="142"/>
    <x v="1"/>
    <n v="2019"/>
    <x v="9"/>
    <s v="ha"/>
    <x v="66"/>
    <s v="I"/>
    <s v="Value imputed by a receiving agency"/>
    <m/>
  </r>
  <r>
    <s v="QCL"/>
    <s v="Crops and livestock products"/>
    <n v="566"/>
    <s v="Nigeria"/>
    <n v="5412"/>
    <s v="Yield"/>
    <n v="142"/>
    <x v="1"/>
    <n v="2019"/>
    <x v="9"/>
    <s v="kg/ha"/>
    <x v="67"/>
    <s v="E"/>
    <s v="Estimated value"/>
    <m/>
  </r>
  <r>
    <s v="QCL"/>
    <s v="Crops and livestock products"/>
    <n v="566"/>
    <s v="Nigeria"/>
    <n v="5510"/>
    <s v="Production"/>
    <n v="142"/>
    <x v="1"/>
    <n v="2019"/>
    <x v="9"/>
    <s v="t"/>
    <x v="68"/>
    <s v="I"/>
    <s v="Value imputed by a receiving agency"/>
    <m/>
  </r>
  <r>
    <s v="QCL"/>
    <s v="Crops and livestock products"/>
    <n v="566"/>
    <s v="Nigeria"/>
    <n v="5312"/>
    <s v="Area harvested"/>
    <n v="142"/>
    <x v="1"/>
    <n v="2020"/>
    <x v="10"/>
    <s v="ha"/>
    <x v="69"/>
    <s v="A"/>
    <s v="Official figure"/>
    <m/>
  </r>
  <r>
    <s v="QCL"/>
    <s v="Crops and livestock products"/>
    <n v="566"/>
    <s v="Nigeria"/>
    <n v="5412"/>
    <s v="Yield"/>
    <n v="142"/>
    <x v="1"/>
    <n v="2020"/>
    <x v="10"/>
    <s v="kg/ha"/>
    <x v="70"/>
    <s v="A"/>
    <s v="Official figure"/>
    <m/>
  </r>
  <r>
    <s v="QCL"/>
    <s v="Crops and livestock products"/>
    <n v="566"/>
    <s v="Nigeria"/>
    <n v="5510"/>
    <s v="Production"/>
    <n v="142"/>
    <x v="1"/>
    <n v="2020"/>
    <x v="10"/>
    <s v="t"/>
    <x v="71"/>
    <s v="A"/>
    <s v="Official figure"/>
    <m/>
  </r>
  <r>
    <s v="QCL"/>
    <s v="Crops and livestock products"/>
    <n v="566"/>
    <s v="Nigeria"/>
    <n v="5312"/>
    <s v="Area harvested"/>
    <n v="142"/>
    <x v="1"/>
    <n v="2021"/>
    <x v="11"/>
    <s v="ha"/>
    <x v="72"/>
    <s v="A"/>
    <s v="Official figure"/>
    <m/>
  </r>
  <r>
    <s v="QCL"/>
    <s v="Crops and livestock products"/>
    <n v="566"/>
    <s v="Nigeria"/>
    <n v="5412"/>
    <s v="Yield"/>
    <n v="142"/>
    <x v="1"/>
    <n v="2021"/>
    <x v="11"/>
    <s v="kg/ha"/>
    <x v="73"/>
    <s v="A"/>
    <s v="Official figure"/>
    <m/>
  </r>
  <r>
    <s v="QCL"/>
    <s v="Crops and livestock products"/>
    <n v="566"/>
    <s v="Nigeria"/>
    <n v="5510"/>
    <s v="Production"/>
    <n v="142"/>
    <x v="1"/>
    <n v="2021"/>
    <x v="11"/>
    <s v="t"/>
    <x v="74"/>
    <s v="A"/>
    <s v="Official figure"/>
    <m/>
  </r>
  <r>
    <s v="QCL"/>
    <s v="Crops and livestock products"/>
    <n v="566"/>
    <s v="Nigeria"/>
    <n v="5312"/>
    <s v="Area harvested"/>
    <n v="142"/>
    <x v="1"/>
    <n v="2022"/>
    <x v="12"/>
    <s v="ha"/>
    <x v="75"/>
    <s v="X"/>
    <s v="Figure from external organization"/>
    <s v="Unofficial figure"/>
  </r>
  <r>
    <s v="QCL"/>
    <s v="Crops and livestock products"/>
    <n v="566"/>
    <s v="Nigeria"/>
    <n v="5412"/>
    <s v="Yield"/>
    <n v="142"/>
    <x v="1"/>
    <n v="2022"/>
    <x v="12"/>
    <s v="kg/ha"/>
    <x v="76"/>
    <s v="X"/>
    <s v="Figure from external organization"/>
    <m/>
  </r>
  <r>
    <s v="QCL"/>
    <s v="Crops and livestock products"/>
    <n v="566"/>
    <s v="Nigeria"/>
    <n v="5510"/>
    <s v="Production"/>
    <n v="142"/>
    <x v="1"/>
    <n v="2022"/>
    <x v="12"/>
    <s v="t"/>
    <x v="77"/>
    <s v="X"/>
    <s v="Figure from external organization"/>
    <s v="Unofficial figure"/>
  </r>
  <r>
    <s v="QCL"/>
    <s v="Crops and livestock products"/>
    <n v="566"/>
    <s v="Nigeria"/>
    <n v="5312"/>
    <s v="Area harvested"/>
    <n v="112"/>
    <x v="2"/>
    <n v="2010"/>
    <x v="0"/>
    <s v="ha"/>
    <x v="78"/>
    <s v="A"/>
    <s v="Official figure"/>
    <m/>
  </r>
  <r>
    <s v="QCL"/>
    <s v="Crops and livestock products"/>
    <n v="566"/>
    <s v="Nigeria"/>
    <n v="5412"/>
    <s v="Yield"/>
    <n v="112"/>
    <x v="2"/>
    <n v="2010"/>
    <x v="0"/>
    <s v="kg/ha"/>
    <x v="79"/>
    <s v="A"/>
    <s v="Official figure"/>
    <m/>
  </r>
  <r>
    <s v="QCL"/>
    <s v="Crops and livestock products"/>
    <n v="566"/>
    <s v="Nigeria"/>
    <n v="5510"/>
    <s v="Production"/>
    <n v="112"/>
    <x v="2"/>
    <n v="2010"/>
    <x v="0"/>
    <s v="t"/>
    <x v="80"/>
    <s v="A"/>
    <s v="Official figure"/>
    <m/>
  </r>
  <r>
    <s v="QCL"/>
    <s v="Crops and livestock products"/>
    <n v="566"/>
    <s v="Nigeria"/>
    <n v="5312"/>
    <s v="Area harvested"/>
    <n v="112"/>
    <x v="2"/>
    <n v="2011"/>
    <x v="1"/>
    <s v="ha"/>
    <x v="81"/>
    <s v="A"/>
    <s v="Official figure"/>
    <m/>
  </r>
  <r>
    <s v="QCL"/>
    <s v="Crops and livestock products"/>
    <n v="566"/>
    <s v="Nigeria"/>
    <n v="5412"/>
    <s v="Yield"/>
    <n v="112"/>
    <x v="2"/>
    <n v="2011"/>
    <x v="1"/>
    <s v="kg/ha"/>
    <x v="82"/>
    <s v="A"/>
    <s v="Official figure"/>
    <m/>
  </r>
  <r>
    <s v="QCL"/>
    <s v="Crops and livestock products"/>
    <n v="566"/>
    <s v="Nigeria"/>
    <n v="5510"/>
    <s v="Production"/>
    <n v="112"/>
    <x v="2"/>
    <n v="2011"/>
    <x v="1"/>
    <s v="t"/>
    <x v="83"/>
    <s v="A"/>
    <s v="Official figure"/>
    <m/>
  </r>
  <r>
    <s v="QCL"/>
    <s v="Crops and livestock products"/>
    <n v="566"/>
    <s v="Nigeria"/>
    <n v="5312"/>
    <s v="Area harvested"/>
    <n v="112"/>
    <x v="2"/>
    <n v="2012"/>
    <x v="2"/>
    <s v="ha"/>
    <x v="84"/>
    <s v="A"/>
    <s v="Official figure"/>
    <m/>
  </r>
  <r>
    <s v="QCL"/>
    <s v="Crops and livestock products"/>
    <n v="566"/>
    <s v="Nigeria"/>
    <n v="5412"/>
    <s v="Yield"/>
    <n v="112"/>
    <x v="2"/>
    <n v="2012"/>
    <x v="2"/>
    <s v="kg/ha"/>
    <x v="85"/>
    <s v="A"/>
    <s v="Official figure"/>
    <m/>
  </r>
  <r>
    <s v="QCL"/>
    <s v="Crops and livestock products"/>
    <n v="566"/>
    <s v="Nigeria"/>
    <n v="5510"/>
    <s v="Production"/>
    <n v="112"/>
    <x v="2"/>
    <n v="2012"/>
    <x v="2"/>
    <s v="t"/>
    <x v="86"/>
    <s v="A"/>
    <s v="Official figure"/>
    <m/>
  </r>
  <r>
    <s v="QCL"/>
    <s v="Crops and livestock products"/>
    <n v="566"/>
    <s v="Nigeria"/>
    <n v="5312"/>
    <s v="Area harvested"/>
    <n v="112"/>
    <x v="2"/>
    <n v="2013"/>
    <x v="3"/>
    <s v="ha"/>
    <x v="87"/>
    <s v="A"/>
    <s v="Official figure"/>
    <m/>
  </r>
  <r>
    <s v="QCL"/>
    <s v="Crops and livestock products"/>
    <n v="566"/>
    <s v="Nigeria"/>
    <n v="5412"/>
    <s v="Yield"/>
    <n v="112"/>
    <x v="2"/>
    <n v="2013"/>
    <x v="3"/>
    <s v="kg/ha"/>
    <x v="88"/>
    <s v="A"/>
    <s v="Official figure"/>
    <m/>
  </r>
  <r>
    <s v="QCL"/>
    <s v="Crops and livestock products"/>
    <n v="566"/>
    <s v="Nigeria"/>
    <n v="5510"/>
    <s v="Production"/>
    <n v="112"/>
    <x v="2"/>
    <n v="2013"/>
    <x v="3"/>
    <s v="t"/>
    <x v="89"/>
    <s v="A"/>
    <s v="Official figure"/>
    <m/>
  </r>
  <r>
    <s v="QCL"/>
    <s v="Crops and livestock products"/>
    <n v="566"/>
    <s v="Nigeria"/>
    <n v="5312"/>
    <s v="Area harvested"/>
    <n v="112"/>
    <x v="2"/>
    <n v="2014"/>
    <x v="4"/>
    <s v="ha"/>
    <x v="90"/>
    <s v="A"/>
    <s v="Official figure"/>
    <m/>
  </r>
  <r>
    <s v="QCL"/>
    <s v="Crops and livestock products"/>
    <n v="566"/>
    <s v="Nigeria"/>
    <n v="5412"/>
    <s v="Yield"/>
    <n v="112"/>
    <x v="2"/>
    <n v="2014"/>
    <x v="4"/>
    <s v="kg/ha"/>
    <x v="91"/>
    <s v="A"/>
    <s v="Official figure"/>
    <m/>
  </r>
  <r>
    <s v="QCL"/>
    <s v="Crops and livestock products"/>
    <n v="566"/>
    <s v="Nigeria"/>
    <n v="5510"/>
    <s v="Production"/>
    <n v="112"/>
    <x v="2"/>
    <n v="2014"/>
    <x v="4"/>
    <s v="t"/>
    <x v="92"/>
    <s v="A"/>
    <s v="Official figure"/>
    <m/>
  </r>
  <r>
    <s v="QCL"/>
    <s v="Crops and livestock products"/>
    <n v="566"/>
    <s v="Nigeria"/>
    <n v="5312"/>
    <s v="Area harvested"/>
    <n v="112"/>
    <x v="2"/>
    <n v="2015"/>
    <x v="5"/>
    <s v="ha"/>
    <x v="93"/>
    <s v="A"/>
    <s v="Official figure"/>
    <m/>
  </r>
  <r>
    <s v="QCL"/>
    <s v="Crops and livestock products"/>
    <n v="566"/>
    <s v="Nigeria"/>
    <n v="5412"/>
    <s v="Yield"/>
    <n v="112"/>
    <x v="2"/>
    <n v="2015"/>
    <x v="5"/>
    <s v="kg/ha"/>
    <x v="94"/>
    <s v="A"/>
    <s v="Official figure"/>
    <m/>
  </r>
  <r>
    <s v="QCL"/>
    <s v="Crops and livestock products"/>
    <n v="566"/>
    <s v="Nigeria"/>
    <n v="5510"/>
    <s v="Production"/>
    <n v="112"/>
    <x v="2"/>
    <n v="2015"/>
    <x v="5"/>
    <s v="t"/>
    <x v="95"/>
    <s v="A"/>
    <s v="Official figure"/>
    <m/>
  </r>
  <r>
    <s v="QCL"/>
    <s v="Crops and livestock products"/>
    <n v="566"/>
    <s v="Nigeria"/>
    <n v="5312"/>
    <s v="Area harvested"/>
    <n v="112"/>
    <x v="2"/>
    <n v="2016"/>
    <x v="6"/>
    <s v="ha"/>
    <x v="96"/>
    <s v="A"/>
    <s v="Official figure"/>
    <m/>
  </r>
  <r>
    <s v="QCL"/>
    <s v="Crops and livestock products"/>
    <n v="566"/>
    <s v="Nigeria"/>
    <n v="5412"/>
    <s v="Yield"/>
    <n v="112"/>
    <x v="2"/>
    <n v="2016"/>
    <x v="6"/>
    <s v="kg/ha"/>
    <x v="97"/>
    <s v="A"/>
    <s v="Official figure"/>
    <m/>
  </r>
  <r>
    <s v="QCL"/>
    <s v="Crops and livestock products"/>
    <n v="566"/>
    <s v="Nigeria"/>
    <n v="5510"/>
    <s v="Production"/>
    <n v="112"/>
    <x v="2"/>
    <n v="2016"/>
    <x v="6"/>
    <s v="t"/>
    <x v="98"/>
    <s v="A"/>
    <s v="Official figure"/>
    <m/>
  </r>
  <r>
    <s v="QCL"/>
    <s v="Crops and livestock products"/>
    <n v="566"/>
    <s v="Nigeria"/>
    <n v="5312"/>
    <s v="Area harvested"/>
    <n v="112"/>
    <x v="2"/>
    <n v="2017"/>
    <x v="7"/>
    <s v="ha"/>
    <x v="99"/>
    <s v="A"/>
    <s v="Official figure"/>
    <m/>
  </r>
  <r>
    <s v="QCL"/>
    <s v="Crops and livestock products"/>
    <n v="566"/>
    <s v="Nigeria"/>
    <n v="5412"/>
    <s v="Yield"/>
    <n v="112"/>
    <x v="2"/>
    <n v="2017"/>
    <x v="7"/>
    <s v="kg/ha"/>
    <x v="100"/>
    <s v="A"/>
    <s v="Official figure"/>
    <m/>
  </r>
  <r>
    <s v="QCL"/>
    <s v="Crops and livestock products"/>
    <n v="566"/>
    <s v="Nigeria"/>
    <n v="5510"/>
    <s v="Production"/>
    <n v="112"/>
    <x v="2"/>
    <n v="2017"/>
    <x v="7"/>
    <s v="t"/>
    <x v="101"/>
    <s v="A"/>
    <s v="Official figure"/>
    <m/>
  </r>
  <r>
    <s v="QCL"/>
    <s v="Crops and livestock products"/>
    <n v="566"/>
    <s v="Nigeria"/>
    <n v="5312"/>
    <s v="Area harvested"/>
    <n v="112"/>
    <x v="2"/>
    <n v="2018"/>
    <x v="8"/>
    <s v="ha"/>
    <x v="102"/>
    <s v="A"/>
    <s v="Official figure"/>
    <m/>
  </r>
  <r>
    <s v="QCL"/>
    <s v="Crops and livestock products"/>
    <n v="566"/>
    <s v="Nigeria"/>
    <n v="5412"/>
    <s v="Yield"/>
    <n v="112"/>
    <x v="2"/>
    <n v="2018"/>
    <x v="8"/>
    <s v="kg/ha"/>
    <x v="103"/>
    <s v="A"/>
    <s v="Official figure"/>
    <m/>
  </r>
  <r>
    <s v="QCL"/>
    <s v="Crops and livestock products"/>
    <n v="566"/>
    <s v="Nigeria"/>
    <n v="5510"/>
    <s v="Production"/>
    <n v="112"/>
    <x v="2"/>
    <n v="2018"/>
    <x v="8"/>
    <s v="t"/>
    <x v="104"/>
    <s v="A"/>
    <s v="Official figure"/>
    <m/>
  </r>
  <r>
    <s v="QCL"/>
    <s v="Crops and livestock products"/>
    <n v="566"/>
    <s v="Nigeria"/>
    <n v="5312"/>
    <s v="Area harvested"/>
    <n v="112"/>
    <x v="2"/>
    <n v="2019"/>
    <x v="9"/>
    <s v="ha"/>
    <x v="105"/>
    <s v="I"/>
    <s v="Value imputed by a receiving agency"/>
    <m/>
  </r>
  <r>
    <s v="QCL"/>
    <s v="Crops and livestock products"/>
    <n v="566"/>
    <s v="Nigeria"/>
    <n v="5412"/>
    <s v="Yield"/>
    <n v="112"/>
    <x v="2"/>
    <n v="2019"/>
    <x v="9"/>
    <s v="kg/ha"/>
    <x v="106"/>
    <s v="E"/>
    <s v="Estimated value"/>
    <m/>
  </r>
  <r>
    <s v="QCL"/>
    <s v="Crops and livestock products"/>
    <n v="566"/>
    <s v="Nigeria"/>
    <n v="5510"/>
    <s v="Production"/>
    <n v="112"/>
    <x v="2"/>
    <n v="2019"/>
    <x v="9"/>
    <s v="t"/>
    <x v="107"/>
    <s v="A"/>
    <s v="Official figure"/>
    <m/>
  </r>
  <r>
    <s v="QCL"/>
    <s v="Crops and livestock products"/>
    <n v="566"/>
    <s v="Nigeria"/>
    <n v="5312"/>
    <s v="Area harvested"/>
    <n v="112"/>
    <x v="2"/>
    <n v="2020"/>
    <x v="10"/>
    <s v="ha"/>
    <x v="108"/>
    <s v="A"/>
    <s v="Official figure"/>
    <m/>
  </r>
  <r>
    <s v="QCL"/>
    <s v="Crops and livestock products"/>
    <n v="566"/>
    <s v="Nigeria"/>
    <n v="5412"/>
    <s v="Yield"/>
    <n v="112"/>
    <x v="2"/>
    <n v="2020"/>
    <x v="10"/>
    <s v="kg/ha"/>
    <x v="109"/>
    <s v="A"/>
    <s v="Official figure"/>
    <m/>
  </r>
  <r>
    <s v="QCL"/>
    <s v="Crops and livestock products"/>
    <n v="566"/>
    <s v="Nigeria"/>
    <n v="5510"/>
    <s v="Production"/>
    <n v="112"/>
    <x v="2"/>
    <n v="2020"/>
    <x v="10"/>
    <s v="t"/>
    <x v="110"/>
    <s v="A"/>
    <s v="Official figure"/>
    <m/>
  </r>
  <r>
    <s v="QCL"/>
    <s v="Crops and livestock products"/>
    <n v="566"/>
    <s v="Nigeria"/>
    <n v="5312"/>
    <s v="Area harvested"/>
    <n v="112"/>
    <x v="2"/>
    <n v="2021"/>
    <x v="11"/>
    <s v="ha"/>
    <x v="111"/>
    <s v="A"/>
    <s v="Official figure"/>
    <m/>
  </r>
  <r>
    <s v="QCL"/>
    <s v="Crops and livestock products"/>
    <n v="566"/>
    <s v="Nigeria"/>
    <n v="5412"/>
    <s v="Yield"/>
    <n v="112"/>
    <x v="2"/>
    <n v="2021"/>
    <x v="11"/>
    <s v="kg/ha"/>
    <x v="112"/>
    <s v="A"/>
    <s v="Official figure"/>
    <m/>
  </r>
  <r>
    <s v="QCL"/>
    <s v="Crops and livestock products"/>
    <n v="566"/>
    <s v="Nigeria"/>
    <n v="5510"/>
    <s v="Production"/>
    <n v="112"/>
    <x v="2"/>
    <n v="2021"/>
    <x v="11"/>
    <s v="t"/>
    <x v="113"/>
    <s v="A"/>
    <s v="Official figure"/>
    <m/>
  </r>
  <r>
    <s v="QCL"/>
    <s v="Crops and livestock products"/>
    <n v="566"/>
    <s v="Nigeria"/>
    <n v="5312"/>
    <s v="Area harvested"/>
    <n v="112"/>
    <x v="2"/>
    <n v="2022"/>
    <x v="12"/>
    <s v="ha"/>
    <x v="114"/>
    <s v="X"/>
    <s v="Figure from external organization"/>
    <s v="Unofficial figure"/>
  </r>
  <r>
    <s v="QCL"/>
    <s v="Crops and livestock products"/>
    <n v="566"/>
    <s v="Nigeria"/>
    <n v="5412"/>
    <s v="Yield"/>
    <n v="112"/>
    <x v="2"/>
    <n v="2022"/>
    <x v="12"/>
    <s v="kg/ha"/>
    <x v="115"/>
    <s v="X"/>
    <s v="Figure from external organization"/>
    <m/>
  </r>
  <r>
    <s v="QCL"/>
    <s v="Crops and livestock products"/>
    <n v="566"/>
    <s v="Nigeria"/>
    <n v="5510"/>
    <s v="Production"/>
    <n v="112"/>
    <x v="2"/>
    <n v="2022"/>
    <x v="12"/>
    <s v="t"/>
    <x v="116"/>
    <s v="X"/>
    <s v="Figure from external organization"/>
    <s v="Unofficial figure"/>
  </r>
  <r>
    <s v="QCL"/>
    <s v="Crops and livestock products"/>
    <n v="566"/>
    <s v="Nigeria"/>
    <n v="5312"/>
    <s v="Area harvested"/>
    <n v="118"/>
    <x v="3"/>
    <n v="2010"/>
    <x v="0"/>
    <s v="ha"/>
    <x v="117"/>
    <s v="A"/>
    <s v="Official figure"/>
    <m/>
  </r>
  <r>
    <s v="QCL"/>
    <s v="Crops and livestock products"/>
    <n v="566"/>
    <s v="Nigeria"/>
    <n v="5412"/>
    <s v="Yield"/>
    <n v="118"/>
    <x v="3"/>
    <n v="2010"/>
    <x v="0"/>
    <s v="kg/ha"/>
    <x v="118"/>
    <s v="A"/>
    <s v="Official figure"/>
    <m/>
  </r>
  <r>
    <s v="QCL"/>
    <s v="Crops and livestock products"/>
    <n v="566"/>
    <s v="Nigeria"/>
    <n v="5510"/>
    <s v="Production"/>
    <n v="118"/>
    <x v="3"/>
    <n v="2010"/>
    <x v="0"/>
    <s v="t"/>
    <x v="119"/>
    <s v="A"/>
    <s v="Official figure"/>
    <m/>
  </r>
  <r>
    <s v="QCL"/>
    <s v="Crops and livestock products"/>
    <n v="566"/>
    <s v="Nigeria"/>
    <n v="5312"/>
    <s v="Area harvested"/>
    <n v="118"/>
    <x v="3"/>
    <n v="2011"/>
    <x v="1"/>
    <s v="ha"/>
    <x v="120"/>
    <s v="A"/>
    <s v="Official figure"/>
    <m/>
  </r>
  <r>
    <s v="QCL"/>
    <s v="Crops and livestock products"/>
    <n v="566"/>
    <s v="Nigeria"/>
    <n v="5412"/>
    <s v="Yield"/>
    <n v="118"/>
    <x v="3"/>
    <n v="2011"/>
    <x v="1"/>
    <s v="kg/ha"/>
    <x v="121"/>
    <s v="A"/>
    <s v="Official figure"/>
    <m/>
  </r>
  <r>
    <s v="QCL"/>
    <s v="Crops and livestock products"/>
    <n v="566"/>
    <s v="Nigeria"/>
    <n v="5510"/>
    <s v="Production"/>
    <n v="118"/>
    <x v="3"/>
    <n v="2011"/>
    <x v="1"/>
    <s v="t"/>
    <x v="122"/>
    <s v="A"/>
    <s v="Official figure"/>
    <m/>
  </r>
  <r>
    <s v="QCL"/>
    <s v="Crops and livestock products"/>
    <n v="566"/>
    <s v="Nigeria"/>
    <n v="5312"/>
    <s v="Area harvested"/>
    <n v="118"/>
    <x v="3"/>
    <n v="2012"/>
    <x v="2"/>
    <s v="ha"/>
    <x v="123"/>
    <s v="A"/>
    <s v="Official figure"/>
    <m/>
  </r>
  <r>
    <s v="QCL"/>
    <s v="Crops and livestock products"/>
    <n v="566"/>
    <s v="Nigeria"/>
    <n v="5412"/>
    <s v="Yield"/>
    <n v="118"/>
    <x v="3"/>
    <n v="2012"/>
    <x v="2"/>
    <s v="kg/ha"/>
    <x v="124"/>
    <s v="A"/>
    <s v="Official figure"/>
    <m/>
  </r>
  <r>
    <s v="QCL"/>
    <s v="Crops and livestock products"/>
    <n v="566"/>
    <s v="Nigeria"/>
    <n v="5510"/>
    <s v="Production"/>
    <n v="118"/>
    <x v="3"/>
    <n v="2012"/>
    <x v="2"/>
    <s v="t"/>
    <x v="125"/>
    <s v="A"/>
    <s v="Official figure"/>
    <m/>
  </r>
  <r>
    <s v="QCL"/>
    <s v="Crops and livestock products"/>
    <n v="566"/>
    <s v="Nigeria"/>
    <n v="5312"/>
    <s v="Area harvested"/>
    <n v="118"/>
    <x v="3"/>
    <n v="2013"/>
    <x v="3"/>
    <s v="ha"/>
    <x v="126"/>
    <s v="A"/>
    <s v="Official figure"/>
    <m/>
  </r>
  <r>
    <s v="QCL"/>
    <s v="Crops and livestock products"/>
    <n v="566"/>
    <s v="Nigeria"/>
    <n v="5412"/>
    <s v="Yield"/>
    <n v="118"/>
    <x v="3"/>
    <n v="2013"/>
    <x v="3"/>
    <s v="kg/ha"/>
    <x v="127"/>
    <s v="A"/>
    <s v="Official figure"/>
    <m/>
  </r>
  <r>
    <s v="QCL"/>
    <s v="Crops and livestock products"/>
    <n v="566"/>
    <s v="Nigeria"/>
    <n v="5510"/>
    <s v="Production"/>
    <n v="118"/>
    <x v="3"/>
    <n v="2013"/>
    <x v="3"/>
    <s v="t"/>
    <x v="128"/>
    <s v="A"/>
    <s v="Official figure"/>
    <m/>
  </r>
  <r>
    <s v="QCL"/>
    <s v="Crops and livestock products"/>
    <n v="566"/>
    <s v="Nigeria"/>
    <n v="5312"/>
    <s v="Area harvested"/>
    <n v="118"/>
    <x v="3"/>
    <n v="2014"/>
    <x v="4"/>
    <s v="ha"/>
    <x v="129"/>
    <s v="A"/>
    <s v="Official figure"/>
    <m/>
  </r>
  <r>
    <s v="QCL"/>
    <s v="Crops and livestock products"/>
    <n v="566"/>
    <s v="Nigeria"/>
    <n v="5412"/>
    <s v="Yield"/>
    <n v="118"/>
    <x v="3"/>
    <n v="2014"/>
    <x v="4"/>
    <s v="kg/ha"/>
    <x v="130"/>
    <s v="A"/>
    <s v="Official figure"/>
    <m/>
  </r>
  <r>
    <s v="QCL"/>
    <s v="Crops and livestock products"/>
    <n v="566"/>
    <s v="Nigeria"/>
    <n v="5510"/>
    <s v="Production"/>
    <n v="118"/>
    <x v="3"/>
    <n v="2014"/>
    <x v="4"/>
    <s v="t"/>
    <x v="131"/>
    <s v="A"/>
    <s v="Official figure"/>
    <m/>
  </r>
  <r>
    <s v="QCL"/>
    <s v="Crops and livestock products"/>
    <n v="566"/>
    <s v="Nigeria"/>
    <n v="5312"/>
    <s v="Area harvested"/>
    <n v="118"/>
    <x v="3"/>
    <n v="2015"/>
    <x v="5"/>
    <s v="ha"/>
    <x v="132"/>
    <s v="A"/>
    <s v="Official figure"/>
    <m/>
  </r>
  <r>
    <s v="QCL"/>
    <s v="Crops and livestock products"/>
    <n v="566"/>
    <s v="Nigeria"/>
    <n v="5412"/>
    <s v="Yield"/>
    <n v="118"/>
    <x v="3"/>
    <n v="2015"/>
    <x v="5"/>
    <s v="kg/ha"/>
    <x v="133"/>
    <s v="A"/>
    <s v="Official figure"/>
    <m/>
  </r>
  <r>
    <s v="QCL"/>
    <s v="Crops and livestock products"/>
    <n v="566"/>
    <s v="Nigeria"/>
    <n v="5510"/>
    <s v="Production"/>
    <n v="118"/>
    <x v="3"/>
    <n v="2015"/>
    <x v="5"/>
    <s v="t"/>
    <x v="134"/>
    <s v="A"/>
    <s v="Official figure"/>
    <m/>
  </r>
  <r>
    <s v="QCL"/>
    <s v="Crops and livestock products"/>
    <n v="566"/>
    <s v="Nigeria"/>
    <n v="5312"/>
    <s v="Area harvested"/>
    <n v="118"/>
    <x v="3"/>
    <n v="2016"/>
    <x v="6"/>
    <s v="ha"/>
    <x v="135"/>
    <s v="A"/>
    <s v="Official figure"/>
    <m/>
  </r>
  <r>
    <s v="QCL"/>
    <s v="Crops and livestock products"/>
    <n v="566"/>
    <s v="Nigeria"/>
    <n v="5412"/>
    <s v="Yield"/>
    <n v="118"/>
    <x v="3"/>
    <n v="2016"/>
    <x v="6"/>
    <s v="kg/ha"/>
    <x v="136"/>
    <s v="A"/>
    <s v="Official figure"/>
    <m/>
  </r>
  <r>
    <s v="QCL"/>
    <s v="Crops and livestock products"/>
    <n v="566"/>
    <s v="Nigeria"/>
    <n v="5510"/>
    <s v="Production"/>
    <n v="118"/>
    <x v="3"/>
    <n v="2016"/>
    <x v="6"/>
    <s v="t"/>
    <x v="137"/>
    <s v="A"/>
    <s v="Official figure"/>
    <m/>
  </r>
  <r>
    <s v="QCL"/>
    <s v="Crops and livestock products"/>
    <n v="566"/>
    <s v="Nigeria"/>
    <n v="5312"/>
    <s v="Area harvested"/>
    <n v="118"/>
    <x v="3"/>
    <n v="2017"/>
    <x v="7"/>
    <s v="ha"/>
    <x v="138"/>
    <s v="A"/>
    <s v="Official figure"/>
    <m/>
  </r>
  <r>
    <s v="QCL"/>
    <s v="Crops and livestock products"/>
    <n v="566"/>
    <s v="Nigeria"/>
    <n v="5412"/>
    <s v="Yield"/>
    <n v="118"/>
    <x v="3"/>
    <n v="2017"/>
    <x v="7"/>
    <s v="kg/ha"/>
    <x v="139"/>
    <s v="A"/>
    <s v="Official figure"/>
    <m/>
  </r>
  <r>
    <s v="QCL"/>
    <s v="Crops and livestock products"/>
    <n v="566"/>
    <s v="Nigeria"/>
    <n v="5510"/>
    <s v="Production"/>
    <n v="118"/>
    <x v="3"/>
    <n v="2017"/>
    <x v="7"/>
    <s v="t"/>
    <x v="140"/>
    <s v="A"/>
    <s v="Official figure"/>
    <m/>
  </r>
  <r>
    <s v="QCL"/>
    <s v="Crops and livestock products"/>
    <n v="566"/>
    <s v="Nigeria"/>
    <n v="5312"/>
    <s v="Area harvested"/>
    <n v="118"/>
    <x v="3"/>
    <n v="2018"/>
    <x v="8"/>
    <s v="ha"/>
    <x v="141"/>
    <s v="A"/>
    <s v="Official figure"/>
    <m/>
  </r>
  <r>
    <s v="QCL"/>
    <s v="Crops and livestock products"/>
    <n v="566"/>
    <s v="Nigeria"/>
    <n v="5412"/>
    <s v="Yield"/>
    <n v="118"/>
    <x v="3"/>
    <n v="2018"/>
    <x v="8"/>
    <s v="kg/ha"/>
    <x v="142"/>
    <s v="A"/>
    <s v="Official figure"/>
    <m/>
  </r>
  <r>
    <s v="QCL"/>
    <s v="Crops and livestock products"/>
    <n v="566"/>
    <s v="Nigeria"/>
    <n v="5510"/>
    <s v="Production"/>
    <n v="118"/>
    <x v="3"/>
    <n v="2018"/>
    <x v="8"/>
    <s v="t"/>
    <x v="143"/>
    <s v="A"/>
    <s v="Official figure"/>
    <m/>
  </r>
  <r>
    <s v="QCL"/>
    <s v="Crops and livestock products"/>
    <n v="566"/>
    <s v="Nigeria"/>
    <n v="5312"/>
    <s v="Area harvested"/>
    <n v="118"/>
    <x v="3"/>
    <n v="2019"/>
    <x v="9"/>
    <s v="ha"/>
    <x v="144"/>
    <s v="A"/>
    <s v="Official figure"/>
    <m/>
  </r>
  <r>
    <s v="QCL"/>
    <s v="Crops and livestock products"/>
    <n v="566"/>
    <s v="Nigeria"/>
    <n v="5412"/>
    <s v="Yield"/>
    <n v="118"/>
    <x v="3"/>
    <n v="2019"/>
    <x v="9"/>
    <s v="kg/ha"/>
    <x v="145"/>
    <s v="A"/>
    <s v="Official figure"/>
    <m/>
  </r>
  <r>
    <s v="QCL"/>
    <s v="Crops and livestock products"/>
    <n v="566"/>
    <s v="Nigeria"/>
    <n v="5510"/>
    <s v="Production"/>
    <n v="118"/>
    <x v="3"/>
    <n v="2019"/>
    <x v="9"/>
    <s v="t"/>
    <x v="146"/>
    <s v="A"/>
    <s v="Official figure"/>
    <m/>
  </r>
  <r>
    <s v="QCL"/>
    <s v="Crops and livestock products"/>
    <n v="566"/>
    <s v="Nigeria"/>
    <n v="5312"/>
    <s v="Area harvested"/>
    <n v="118"/>
    <x v="3"/>
    <n v="2020"/>
    <x v="10"/>
    <s v="ha"/>
    <x v="147"/>
    <s v="A"/>
    <s v="Official figure"/>
    <m/>
  </r>
  <r>
    <s v="QCL"/>
    <s v="Crops and livestock products"/>
    <n v="566"/>
    <s v="Nigeria"/>
    <n v="5412"/>
    <s v="Yield"/>
    <n v="118"/>
    <x v="3"/>
    <n v="2020"/>
    <x v="10"/>
    <s v="kg/ha"/>
    <x v="148"/>
    <s v="A"/>
    <s v="Official figure"/>
    <m/>
  </r>
  <r>
    <s v="QCL"/>
    <s v="Crops and livestock products"/>
    <n v="566"/>
    <s v="Nigeria"/>
    <n v="5510"/>
    <s v="Production"/>
    <n v="118"/>
    <x v="3"/>
    <n v="2020"/>
    <x v="10"/>
    <s v="t"/>
    <x v="149"/>
    <s v="A"/>
    <s v="Official figure"/>
    <m/>
  </r>
  <r>
    <s v="QCL"/>
    <s v="Crops and livestock products"/>
    <n v="566"/>
    <s v="Nigeria"/>
    <n v="5312"/>
    <s v="Area harvested"/>
    <n v="118"/>
    <x v="3"/>
    <n v="2021"/>
    <x v="11"/>
    <s v="ha"/>
    <x v="150"/>
    <s v="A"/>
    <s v="Official figure"/>
    <m/>
  </r>
  <r>
    <s v="QCL"/>
    <s v="Crops and livestock products"/>
    <n v="566"/>
    <s v="Nigeria"/>
    <n v="5412"/>
    <s v="Yield"/>
    <n v="118"/>
    <x v="3"/>
    <n v="2021"/>
    <x v="11"/>
    <s v="kg/ha"/>
    <x v="151"/>
    <s v="A"/>
    <s v="Official figure"/>
    <m/>
  </r>
  <r>
    <s v="QCL"/>
    <s v="Crops and livestock products"/>
    <n v="566"/>
    <s v="Nigeria"/>
    <n v="5510"/>
    <s v="Production"/>
    <n v="118"/>
    <x v="3"/>
    <n v="2021"/>
    <x v="11"/>
    <s v="t"/>
    <x v="152"/>
    <s v="A"/>
    <s v="Official figure"/>
    <m/>
  </r>
  <r>
    <s v="QCL"/>
    <s v="Crops and livestock products"/>
    <n v="566"/>
    <s v="Nigeria"/>
    <n v="5312"/>
    <s v="Area harvested"/>
    <n v="118"/>
    <x v="3"/>
    <n v="2022"/>
    <x v="12"/>
    <s v="ha"/>
    <x v="153"/>
    <s v="X"/>
    <s v="Figure from external organization"/>
    <s v="Unofficial figure"/>
  </r>
  <r>
    <s v="QCL"/>
    <s v="Crops and livestock products"/>
    <n v="566"/>
    <s v="Nigeria"/>
    <n v="5412"/>
    <s v="Yield"/>
    <n v="118"/>
    <x v="3"/>
    <n v="2022"/>
    <x v="12"/>
    <s v="kg/ha"/>
    <x v="154"/>
    <s v="X"/>
    <s v="Figure from external organization"/>
    <m/>
  </r>
  <r>
    <s v="QCL"/>
    <s v="Crops and livestock products"/>
    <n v="566"/>
    <s v="Nigeria"/>
    <n v="5510"/>
    <s v="Production"/>
    <n v="118"/>
    <x v="3"/>
    <n v="2022"/>
    <x v="12"/>
    <s v="t"/>
    <x v="155"/>
    <s v="X"/>
    <s v="Figure from external organization"/>
    <s v="Unofficial figure"/>
  </r>
  <r>
    <s v="QCL"/>
    <s v="Crops and livestock products"/>
    <n v="566"/>
    <s v="Nigeria"/>
    <n v="5312"/>
    <s v="Area harvested"/>
    <n v="113"/>
    <x v="4"/>
    <n v="2010"/>
    <x v="0"/>
    <s v="ha"/>
    <x v="156"/>
    <s v="A"/>
    <s v="Official figure"/>
    <m/>
  </r>
  <r>
    <s v="QCL"/>
    <s v="Crops and livestock products"/>
    <n v="566"/>
    <s v="Nigeria"/>
    <n v="5412"/>
    <s v="Yield"/>
    <n v="113"/>
    <x v="4"/>
    <n v="2010"/>
    <x v="0"/>
    <s v="kg/ha"/>
    <x v="157"/>
    <s v="A"/>
    <s v="Official figure"/>
    <m/>
  </r>
  <r>
    <s v="QCL"/>
    <s v="Crops and livestock products"/>
    <n v="566"/>
    <s v="Nigeria"/>
    <n v="5510"/>
    <s v="Production"/>
    <n v="113"/>
    <x v="4"/>
    <n v="2010"/>
    <x v="0"/>
    <s v="t"/>
    <x v="158"/>
    <s v="A"/>
    <s v="Official figure"/>
    <m/>
  </r>
  <r>
    <s v="QCL"/>
    <s v="Crops and livestock products"/>
    <n v="566"/>
    <s v="Nigeria"/>
    <n v="5312"/>
    <s v="Area harvested"/>
    <n v="113"/>
    <x v="4"/>
    <n v="2011"/>
    <x v="1"/>
    <s v="ha"/>
    <x v="159"/>
    <s v="A"/>
    <s v="Official figure"/>
    <m/>
  </r>
  <r>
    <s v="QCL"/>
    <s v="Crops and livestock products"/>
    <n v="566"/>
    <s v="Nigeria"/>
    <n v="5412"/>
    <s v="Yield"/>
    <n v="113"/>
    <x v="4"/>
    <n v="2011"/>
    <x v="1"/>
    <s v="kg/ha"/>
    <x v="160"/>
    <s v="A"/>
    <s v="Official figure"/>
    <m/>
  </r>
  <r>
    <s v="QCL"/>
    <s v="Crops and livestock products"/>
    <n v="566"/>
    <s v="Nigeria"/>
    <n v="5510"/>
    <s v="Production"/>
    <n v="113"/>
    <x v="4"/>
    <n v="2011"/>
    <x v="1"/>
    <s v="t"/>
    <x v="161"/>
    <s v="A"/>
    <s v="Official figure"/>
    <m/>
  </r>
  <r>
    <s v="QCL"/>
    <s v="Crops and livestock products"/>
    <n v="566"/>
    <s v="Nigeria"/>
    <n v="5312"/>
    <s v="Area harvested"/>
    <n v="113"/>
    <x v="4"/>
    <n v="2012"/>
    <x v="2"/>
    <s v="ha"/>
    <x v="162"/>
    <s v="A"/>
    <s v="Official figure"/>
    <m/>
  </r>
  <r>
    <s v="QCL"/>
    <s v="Crops and livestock products"/>
    <n v="566"/>
    <s v="Nigeria"/>
    <n v="5412"/>
    <s v="Yield"/>
    <n v="113"/>
    <x v="4"/>
    <n v="2012"/>
    <x v="2"/>
    <s v="kg/ha"/>
    <x v="163"/>
    <s v="A"/>
    <s v="Official figure"/>
    <m/>
  </r>
  <r>
    <s v="QCL"/>
    <s v="Crops and livestock products"/>
    <n v="566"/>
    <s v="Nigeria"/>
    <n v="5510"/>
    <s v="Production"/>
    <n v="113"/>
    <x v="4"/>
    <n v="2012"/>
    <x v="2"/>
    <s v="t"/>
    <x v="164"/>
    <s v="A"/>
    <s v="Official figure"/>
    <m/>
  </r>
  <r>
    <s v="QCL"/>
    <s v="Crops and livestock products"/>
    <n v="566"/>
    <s v="Nigeria"/>
    <n v="5312"/>
    <s v="Area harvested"/>
    <n v="113"/>
    <x v="4"/>
    <n v="2013"/>
    <x v="3"/>
    <s v="ha"/>
    <x v="165"/>
    <s v="A"/>
    <s v="Official figure"/>
    <m/>
  </r>
  <r>
    <s v="QCL"/>
    <s v="Crops and livestock products"/>
    <n v="566"/>
    <s v="Nigeria"/>
    <n v="5412"/>
    <s v="Yield"/>
    <n v="113"/>
    <x v="4"/>
    <n v="2013"/>
    <x v="3"/>
    <s v="kg/ha"/>
    <x v="166"/>
    <s v="A"/>
    <s v="Official figure"/>
    <m/>
  </r>
  <r>
    <s v="QCL"/>
    <s v="Crops and livestock products"/>
    <n v="566"/>
    <s v="Nigeria"/>
    <n v="5510"/>
    <s v="Production"/>
    <n v="113"/>
    <x v="4"/>
    <n v="2013"/>
    <x v="3"/>
    <s v="t"/>
    <x v="167"/>
    <s v="A"/>
    <s v="Official figure"/>
    <m/>
  </r>
  <r>
    <s v="QCL"/>
    <s v="Crops and livestock products"/>
    <n v="566"/>
    <s v="Nigeria"/>
    <n v="5312"/>
    <s v="Area harvested"/>
    <n v="113"/>
    <x v="4"/>
    <n v="2014"/>
    <x v="4"/>
    <s v="ha"/>
    <x v="168"/>
    <s v="A"/>
    <s v="Official figure"/>
    <m/>
  </r>
  <r>
    <s v="QCL"/>
    <s v="Crops and livestock products"/>
    <n v="566"/>
    <s v="Nigeria"/>
    <n v="5412"/>
    <s v="Yield"/>
    <n v="113"/>
    <x v="4"/>
    <n v="2014"/>
    <x v="4"/>
    <s v="kg/ha"/>
    <x v="169"/>
    <s v="A"/>
    <s v="Official figure"/>
    <m/>
  </r>
  <r>
    <s v="QCL"/>
    <s v="Crops and livestock products"/>
    <n v="566"/>
    <s v="Nigeria"/>
    <n v="5510"/>
    <s v="Production"/>
    <n v="113"/>
    <x v="4"/>
    <n v="2014"/>
    <x v="4"/>
    <s v="t"/>
    <x v="170"/>
    <s v="A"/>
    <s v="Official figure"/>
    <m/>
  </r>
  <r>
    <s v="QCL"/>
    <s v="Crops and livestock products"/>
    <n v="566"/>
    <s v="Nigeria"/>
    <n v="5312"/>
    <s v="Area harvested"/>
    <n v="113"/>
    <x v="4"/>
    <n v="2015"/>
    <x v="5"/>
    <s v="ha"/>
    <x v="171"/>
    <s v="A"/>
    <s v="Official figure"/>
    <m/>
  </r>
  <r>
    <s v="QCL"/>
    <s v="Crops and livestock products"/>
    <n v="566"/>
    <s v="Nigeria"/>
    <n v="5412"/>
    <s v="Yield"/>
    <n v="113"/>
    <x v="4"/>
    <n v="2015"/>
    <x v="5"/>
    <s v="kg/ha"/>
    <x v="172"/>
    <s v="A"/>
    <s v="Official figure"/>
    <m/>
  </r>
  <r>
    <s v="QCL"/>
    <s v="Crops and livestock products"/>
    <n v="566"/>
    <s v="Nigeria"/>
    <n v="5510"/>
    <s v="Production"/>
    <n v="113"/>
    <x v="4"/>
    <n v="2015"/>
    <x v="5"/>
    <s v="t"/>
    <x v="173"/>
    <s v="A"/>
    <s v="Official figure"/>
    <m/>
  </r>
  <r>
    <s v="QCL"/>
    <s v="Crops and livestock products"/>
    <n v="566"/>
    <s v="Nigeria"/>
    <n v="5312"/>
    <s v="Area harvested"/>
    <n v="113"/>
    <x v="4"/>
    <n v="2016"/>
    <x v="6"/>
    <s v="ha"/>
    <x v="174"/>
    <s v="A"/>
    <s v="Official figure"/>
    <m/>
  </r>
  <r>
    <s v="QCL"/>
    <s v="Crops and livestock products"/>
    <n v="566"/>
    <s v="Nigeria"/>
    <n v="5412"/>
    <s v="Yield"/>
    <n v="113"/>
    <x v="4"/>
    <n v="2016"/>
    <x v="6"/>
    <s v="kg/ha"/>
    <x v="175"/>
    <s v="A"/>
    <s v="Official figure"/>
    <m/>
  </r>
  <r>
    <s v="QCL"/>
    <s v="Crops and livestock products"/>
    <n v="566"/>
    <s v="Nigeria"/>
    <n v="5510"/>
    <s v="Production"/>
    <n v="113"/>
    <x v="4"/>
    <n v="2016"/>
    <x v="6"/>
    <s v="t"/>
    <x v="176"/>
    <s v="A"/>
    <s v="Official figure"/>
    <m/>
  </r>
  <r>
    <s v="QCL"/>
    <s v="Crops and livestock products"/>
    <n v="566"/>
    <s v="Nigeria"/>
    <n v="5312"/>
    <s v="Area harvested"/>
    <n v="113"/>
    <x v="4"/>
    <n v="2017"/>
    <x v="7"/>
    <s v="ha"/>
    <x v="177"/>
    <s v="A"/>
    <s v="Official figure"/>
    <m/>
  </r>
  <r>
    <s v="QCL"/>
    <s v="Crops and livestock products"/>
    <n v="566"/>
    <s v="Nigeria"/>
    <n v="5412"/>
    <s v="Yield"/>
    <n v="113"/>
    <x v="4"/>
    <n v="2017"/>
    <x v="7"/>
    <s v="kg/ha"/>
    <x v="178"/>
    <s v="A"/>
    <s v="Official figure"/>
    <m/>
  </r>
  <r>
    <s v="QCL"/>
    <s v="Crops and livestock products"/>
    <n v="566"/>
    <s v="Nigeria"/>
    <n v="5510"/>
    <s v="Production"/>
    <n v="113"/>
    <x v="4"/>
    <n v="2017"/>
    <x v="7"/>
    <s v="t"/>
    <x v="179"/>
    <s v="A"/>
    <s v="Official figure"/>
    <m/>
  </r>
  <r>
    <s v="QCL"/>
    <s v="Crops and livestock products"/>
    <n v="566"/>
    <s v="Nigeria"/>
    <n v="5312"/>
    <s v="Area harvested"/>
    <n v="113"/>
    <x v="4"/>
    <n v="2018"/>
    <x v="8"/>
    <s v="ha"/>
    <x v="180"/>
    <s v="A"/>
    <s v="Official figure"/>
    <m/>
  </r>
  <r>
    <s v="QCL"/>
    <s v="Crops and livestock products"/>
    <n v="566"/>
    <s v="Nigeria"/>
    <n v="5412"/>
    <s v="Yield"/>
    <n v="113"/>
    <x v="4"/>
    <n v="2018"/>
    <x v="8"/>
    <s v="kg/ha"/>
    <x v="181"/>
    <s v="A"/>
    <s v="Official figure"/>
    <m/>
  </r>
  <r>
    <s v="QCL"/>
    <s v="Crops and livestock products"/>
    <n v="566"/>
    <s v="Nigeria"/>
    <n v="5510"/>
    <s v="Production"/>
    <n v="113"/>
    <x v="4"/>
    <n v="2018"/>
    <x v="8"/>
    <s v="t"/>
    <x v="182"/>
    <s v="A"/>
    <s v="Official figure"/>
    <m/>
  </r>
  <r>
    <s v="QCL"/>
    <s v="Crops and livestock products"/>
    <n v="566"/>
    <s v="Nigeria"/>
    <n v="5312"/>
    <s v="Area harvested"/>
    <n v="113"/>
    <x v="4"/>
    <n v="2019"/>
    <x v="9"/>
    <s v="ha"/>
    <x v="183"/>
    <s v="A"/>
    <s v="Official figure"/>
    <m/>
  </r>
  <r>
    <s v="QCL"/>
    <s v="Crops and livestock products"/>
    <n v="566"/>
    <s v="Nigeria"/>
    <n v="5412"/>
    <s v="Yield"/>
    <n v="113"/>
    <x v="4"/>
    <n v="2019"/>
    <x v="9"/>
    <s v="kg/ha"/>
    <x v="184"/>
    <s v="A"/>
    <s v="Official figure"/>
    <m/>
  </r>
  <r>
    <s v="QCL"/>
    <s v="Crops and livestock products"/>
    <n v="566"/>
    <s v="Nigeria"/>
    <n v="5510"/>
    <s v="Production"/>
    <n v="113"/>
    <x v="4"/>
    <n v="2019"/>
    <x v="9"/>
    <s v="t"/>
    <x v="185"/>
    <s v="A"/>
    <s v="Official figure"/>
    <m/>
  </r>
  <r>
    <s v="QCL"/>
    <s v="Crops and livestock products"/>
    <n v="566"/>
    <s v="Nigeria"/>
    <n v="5312"/>
    <s v="Area harvested"/>
    <n v="113"/>
    <x v="4"/>
    <n v="2020"/>
    <x v="10"/>
    <s v="ha"/>
    <x v="186"/>
    <s v="A"/>
    <s v="Official figure"/>
    <m/>
  </r>
  <r>
    <s v="QCL"/>
    <s v="Crops and livestock products"/>
    <n v="566"/>
    <s v="Nigeria"/>
    <n v="5412"/>
    <s v="Yield"/>
    <n v="113"/>
    <x v="4"/>
    <n v="2020"/>
    <x v="10"/>
    <s v="kg/ha"/>
    <x v="187"/>
    <s v="A"/>
    <s v="Official figure"/>
    <m/>
  </r>
  <r>
    <s v="QCL"/>
    <s v="Crops and livestock products"/>
    <n v="566"/>
    <s v="Nigeria"/>
    <n v="5510"/>
    <s v="Production"/>
    <n v="113"/>
    <x v="4"/>
    <n v="2020"/>
    <x v="10"/>
    <s v="t"/>
    <x v="188"/>
    <s v="A"/>
    <s v="Official figure"/>
    <m/>
  </r>
  <r>
    <s v="QCL"/>
    <s v="Crops and livestock products"/>
    <n v="566"/>
    <s v="Nigeria"/>
    <n v="5312"/>
    <s v="Area harvested"/>
    <n v="113"/>
    <x v="4"/>
    <n v="2021"/>
    <x v="11"/>
    <s v="ha"/>
    <x v="189"/>
    <s v="A"/>
    <s v="Official figure"/>
    <m/>
  </r>
  <r>
    <s v="QCL"/>
    <s v="Crops and livestock products"/>
    <n v="566"/>
    <s v="Nigeria"/>
    <n v="5412"/>
    <s v="Yield"/>
    <n v="113"/>
    <x v="4"/>
    <n v="2021"/>
    <x v="11"/>
    <s v="kg/ha"/>
    <x v="190"/>
    <s v="A"/>
    <s v="Official figure"/>
    <m/>
  </r>
  <r>
    <s v="QCL"/>
    <s v="Crops and livestock products"/>
    <n v="566"/>
    <s v="Nigeria"/>
    <n v="5510"/>
    <s v="Production"/>
    <n v="113"/>
    <x v="4"/>
    <n v="2021"/>
    <x v="11"/>
    <s v="t"/>
    <x v="191"/>
    <s v="A"/>
    <s v="Official figure"/>
    <m/>
  </r>
  <r>
    <s v="QCL"/>
    <s v="Crops and livestock products"/>
    <n v="566"/>
    <s v="Nigeria"/>
    <n v="5312"/>
    <s v="Area harvested"/>
    <n v="113"/>
    <x v="4"/>
    <n v="2022"/>
    <x v="12"/>
    <s v="ha"/>
    <x v="192"/>
    <s v="A"/>
    <s v="Official figure"/>
    <m/>
  </r>
  <r>
    <s v="QCL"/>
    <s v="Crops and livestock products"/>
    <n v="566"/>
    <s v="Nigeria"/>
    <n v="5412"/>
    <s v="Yield"/>
    <n v="113"/>
    <x v="4"/>
    <n v="2022"/>
    <x v="12"/>
    <s v="kg/ha"/>
    <x v="193"/>
    <s v="A"/>
    <s v="Official figure"/>
    <m/>
  </r>
  <r>
    <s v="QCL"/>
    <s v="Crops and livestock products"/>
    <n v="566"/>
    <s v="Nigeria"/>
    <n v="5510"/>
    <s v="Production"/>
    <n v="113"/>
    <x v="4"/>
    <n v="2022"/>
    <x v="12"/>
    <s v="t"/>
    <x v="194"/>
    <s v="A"/>
    <s v="Official figure"/>
    <m/>
  </r>
  <r>
    <s v="QCL"/>
    <s v="Crops and livestock products"/>
    <n v="566"/>
    <s v="Nigeria"/>
    <n v="5312"/>
    <s v="Area harvested"/>
    <n v="114"/>
    <x v="5"/>
    <n v="2010"/>
    <x v="0"/>
    <s v="ha"/>
    <x v="195"/>
    <s v="A"/>
    <s v="Official figure"/>
    <m/>
  </r>
  <r>
    <s v="QCL"/>
    <s v="Crops and livestock products"/>
    <n v="566"/>
    <s v="Nigeria"/>
    <n v="5412"/>
    <s v="Yield"/>
    <n v="114"/>
    <x v="5"/>
    <n v="2010"/>
    <x v="0"/>
    <s v="kg/ha"/>
    <x v="196"/>
    <s v="A"/>
    <s v="Official figure"/>
    <m/>
  </r>
  <r>
    <s v="QCL"/>
    <s v="Crops and livestock products"/>
    <n v="566"/>
    <s v="Nigeria"/>
    <n v="5510"/>
    <s v="Production"/>
    <n v="114"/>
    <x v="5"/>
    <n v="2010"/>
    <x v="0"/>
    <s v="t"/>
    <x v="197"/>
    <s v="A"/>
    <s v="Official figure"/>
    <m/>
  </r>
  <r>
    <s v="QCL"/>
    <s v="Crops and livestock products"/>
    <n v="566"/>
    <s v="Nigeria"/>
    <n v="5312"/>
    <s v="Area harvested"/>
    <n v="114"/>
    <x v="5"/>
    <n v="2011"/>
    <x v="1"/>
    <s v="ha"/>
    <x v="198"/>
    <s v="A"/>
    <s v="Official figure"/>
    <m/>
  </r>
  <r>
    <s v="QCL"/>
    <s v="Crops and livestock products"/>
    <n v="566"/>
    <s v="Nigeria"/>
    <n v="5412"/>
    <s v="Yield"/>
    <n v="114"/>
    <x v="5"/>
    <n v="2011"/>
    <x v="1"/>
    <s v="kg/ha"/>
    <x v="199"/>
    <s v="A"/>
    <s v="Official figure"/>
    <m/>
  </r>
  <r>
    <s v="QCL"/>
    <s v="Crops and livestock products"/>
    <n v="566"/>
    <s v="Nigeria"/>
    <n v="5510"/>
    <s v="Production"/>
    <n v="114"/>
    <x v="5"/>
    <n v="2011"/>
    <x v="1"/>
    <s v="t"/>
    <x v="200"/>
    <s v="A"/>
    <s v="Official figure"/>
    <m/>
  </r>
  <r>
    <s v="QCL"/>
    <s v="Crops and livestock products"/>
    <n v="566"/>
    <s v="Nigeria"/>
    <n v="5312"/>
    <s v="Area harvested"/>
    <n v="114"/>
    <x v="5"/>
    <n v="2012"/>
    <x v="2"/>
    <s v="ha"/>
    <x v="201"/>
    <s v="A"/>
    <s v="Official figure"/>
    <m/>
  </r>
  <r>
    <s v="QCL"/>
    <s v="Crops and livestock products"/>
    <n v="566"/>
    <s v="Nigeria"/>
    <n v="5412"/>
    <s v="Yield"/>
    <n v="114"/>
    <x v="5"/>
    <n v="2012"/>
    <x v="2"/>
    <s v="kg/ha"/>
    <x v="202"/>
    <s v="A"/>
    <s v="Official figure"/>
    <m/>
  </r>
  <r>
    <s v="QCL"/>
    <s v="Crops and livestock products"/>
    <n v="566"/>
    <s v="Nigeria"/>
    <n v="5510"/>
    <s v="Production"/>
    <n v="114"/>
    <x v="5"/>
    <n v="2012"/>
    <x v="2"/>
    <s v="t"/>
    <x v="203"/>
    <s v="A"/>
    <s v="Official figure"/>
    <m/>
  </r>
  <r>
    <s v="QCL"/>
    <s v="Crops and livestock products"/>
    <n v="566"/>
    <s v="Nigeria"/>
    <n v="5312"/>
    <s v="Area harvested"/>
    <n v="114"/>
    <x v="5"/>
    <n v="2013"/>
    <x v="3"/>
    <s v="ha"/>
    <x v="204"/>
    <s v="A"/>
    <s v="Official figure"/>
    <m/>
  </r>
  <r>
    <s v="QCL"/>
    <s v="Crops and livestock products"/>
    <n v="566"/>
    <s v="Nigeria"/>
    <n v="5412"/>
    <s v="Yield"/>
    <n v="114"/>
    <x v="5"/>
    <n v="2013"/>
    <x v="3"/>
    <s v="kg/ha"/>
    <x v="205"/>
    <s v="A"/>
    <s v="Official figure"/>
    <m/>
  </r>
  <r>
    <s v="QCL"/>
    <s v="Crops and livestock products"/>
    <n v="566"/>
    <s v="Nigeria"/>
    <n v="5510"/>
    <s v="Production"/>
    <n v="114"/>
    <x v="5"/>
    <n v="2013"/>
    <x v="3"/>
    <s v="t"/>
    <x v="206"/>
    <s v="A"/>
    <s v="Official figure"/>
    <m/>
  </r>
  <r>
    <s v="QCL"/>
    <s v="Crops and livestock products"/>
    <n v="566"/>
    <s v="Nigeria"/>
    <n v="5312"/>
    <s v="Area harvested"/>
    <n v="114"/>
    <x v="5"/>
    <n v="2014"/>
    <x v="4"/>
    <s v="ha"/>
    <x v="207"/>
    <s v="A"/>
    <s v="Official figure"/>
    <m/>
  </r>
  <r>
    <s v="QCL"/>
    <s v="Crops and livestock products"/>
    <n v="566"/>
    <s v="Nigeria"/>
    <n v="5412"/>
    <s v="Yield"/>
    <n v="114"/>
    <x v="5"/>
    <n v="2014"/>
    <x v="4"/>
    <s v="kg/ha"/>
    <x v="208"/>
    <s v="A"/>
    <s v="Official figure"/>
    <m/>
  </r>
  <r>
    <s v="QCL"/>
    <s v="Crops and livestock products"/>
    <n v="566"/>
    <s v="Nigeria"/>
    <n v="5510"/>
    <s v="Production"/>
    <n v="114"/>
    <x v="5"/>
    <n v="2014"/>
    <x v="4"/>
    <s v="t"/>
    <x v="209"/>
    <s v="A"/>
    <s v="Official figure"/>
    <m/>
  </r>
  <r>
    <s v="QCL"/>
    <s v="Crops and livestock products"/>
    <n v="566"/>
    <s v="Nigeria"/>
    <n v="5312"/>
    <s v="Area harvested"/>
    <n v="114"/>
    <x v="5"/>
    <n v="2015"/>
    <x v="5"/>
    <s v="ha"/>
    <x v="210"/>
    <s v="A"/>
    <s v="Official figure"/>
    <m/>
  </r>
  <r>
    <s v="QCL"/>
    <s v="Crops and livestock products"/>
    <n v="566"/>
    <s v="Nigeria"/>
    <n v="5412"/>
    <s v="Yield"/>
    <n v="114"/>
    <x v="5"/>
    <n v="2015"/>
    <x v="5"/>
    <s v="kg/ha"/>
    <x v="211"/>
    <s v="A"/>
    <s v="Official figure"/>
    <m/>
  </r>
  <r>
    <s v="QCL"/>
    <s v="Crops and livestock products"/>
    <n v="566"/>
    <s v="Nigeria"/>
    <n v="5510"/>
    <s v="Production"/>
    <n v="114"/>
    <x v="5"/>
    <n v="2015"/>
    <x v="5"/>
    <s v="t"/>
    <x v="212"/>
    <s v="A"/>
    <s v="Official figure"/>
    <m/>
  </r>
  <r>
    <s v="QCL"/>
    <s v="Crops and livestock products"/>
    <n v="566"/>
    <s v="Nigeria"/>
    <n v="5312"/>
    <s v="Area harvested"/>
    <n v="114"/>
    <x v="5"/>
    <n v="2016"/>
    <x v="6"/>
    <s v="ha"/>
    <x v="213"/>
    <s v="A"/>
    <s v="Official figure"/>
    <m/>
  </r>
  <r>
    <s v="QCL"/>
    <s v="Crops and livestock products"/>
    <n v="566"/>
    <s v="Nigeria"/>
    <n v="5412"/>
    <s v="Yield"/>
    <n v="114"/>
    <x v="5"/>
    <n v="2016"/>
    <x v="6"/>
    <s v="kg/ha"/>
    <x v="214"/>
    <s v="A"/>
    <s v="Official figure"/>
    <m/>
  </r>
  <r>
    <s v="QCL"/>
    <s v="Crops and livestock products"/>
    <n v="566"/>
    <s v="Nigeria"/>
    <n v="5510"/>
    <s v="Production"/>
    <n v="114"/>
    <x v="5"/>
    <n v="2016"/>
    <x v="6"/>
    <s v="t"/>
    <x v="215"/>
    <s v="A"/>
    <s v="Official figure"/>
    <m/>
  </r>
  <r>
    <s v="QCL"/>
    <s v="Crops and livestock products"/>
    <n v="566"/>
    <s v="Nigeria"/>
    <n v="5312"/>
    <s v="Area harvested"/>
    <n v="114"/>
    <x v="5"/>
    <n v="2017"/>
    <x v="7"/>
    <s v="ha"/>
    <x v="216"/>
    <s v="A"/>
    <s v="Official figure"/>
    <m/>
  </r>
  <r>
    <s v="QCL"/>
    <s v="Crops and livestock products"/>
    <n v="566"/>
    <s v="Nigeria"/>
    <n v="5412"/>
    <s v="Yield"/>
    <n v="114"/>
    <x v="5"/>
    <n v="2017"/>
    <x v="7"/>
    <s v="kg/ha"/>
    <x v="217"/>
    <s v="A"/>
    <s v="Official figure"/>
    <m/>
  </r>
  <r>
    <s v="QCL"/>
    <s v="Crops and livestock products"/>
    <n v="566"/>
    <s v="Nigeria"/>
    <n v="5510"/>
    <s v="Production"/>
    <n v="114"/>
    <x v="5"/>
    <n v="2017"/>
    <x v="7"/>
    <s v="t"/>
    <x v="218"/>
    <s v="A"/>
    <s v="Official figure"/>
    <m/>
  </r>
  <r>
    <s v="QCL"/>
    <s v="Crops and livestock products"/>
    <n v="566"/>
    <s v="Nigeria"/>
    <n v="5312"/>
    <s v="Area harvested"/>
    <n v="114"/>
    <x v="5"/>
    <n v="2018"/>
    <x v="8"/>
    <s v="ha"/>
    <x v="219"/>
    <s v="I"/>
    <s v="Value imputed by a receiving agency"/>
    <m/>
  </r>
  <r>
    <s v="QCL"/>
    <s v="Crops and livestock products"/>
    <n v="566"/>
    <s v="Nigeria"/>
    <n v="5412"/>
    <s v="Yield"/>
    <n v="114"/>
    <x v="5"/>
    <n v="2018"/>
    <x v="8"/>
    <s v="kg/ha"/>
    <x v="220"/>
    <s v="E"/>
    <s v="Estimated value"/>
    <m/>
  </r>
  <r>
    <s v="QCL"/>
    <s v="Crops and livestock products"/>
    <n v="566"/>
    <s v="Nigeria"/>
    <n v="5510"/>
    <s v="Production"/>
    <n v="114"/>
    <x v="5"/>
    <n v="2018"/>
    <x v="8"/>
    <s v="t"/>
    <x v="221"/>
    <s v="X"/>
    <s v="Figure from external organization"/>
    <s v="Unofficial figure"/>
  </r>
  <r>
    <s v="QCL"/>
    <s v="Crops and livestock products"/>
    <n v="566"/>
    <s v="Nigeria"/>
    <n v="5312"/>
    <s v="Area harvested"/>
    <n v="114"/>
    <x v="5"/>
    <n v="2019"/>
    <x v="9"/>
    <s v="ha"/>
    <x v="222"/>
    <s v="X"/>
    <s v="Figure from external organization"/>
    <s v="Unofficial figure"/>
  </r>
  <r>
    <s v="QCL"/>
    <s v="Crops and livestock products"/>
    <n v="566"/>
    <s v="Nigeria"/>
    <n v="5412"/>
    <s v="Yield"/>
    <n v="114"/>
    <x v="5"/>
    <n v="2019"/>
    <x v="9"/>
    <s v="kg/ha"/>
    <x v="223"/>
    <s v="X"/>
    <s v="Figure from external organization"/>
    <m/>
  </r>
  <r>
    <s v="QCL"/>
    <s v="Crops and livestock products"/>
    <n v="566"/>
    <s v="Nigeria"/>
    <n v="5510"/>
    <s v="Production"/>
    <n v="114"/>
    <x v="5"/>
    <n v="2019"/>
    <x v="9"/>
    <s v="t"/>
    <x v="224"/>
    <s v="X"/>
    <s v="Figure from external organization"/>
    <s v="Unofficial figure"/>
  </r>
  <r>
    <s v="QCL"/>
    <s v="Crops and livestock products"/>
    <n v="566"/>
    <s v="Nigeria"/>
    <n v="5312"/>
    <s v="Area harvested"/>
    <n v="114"/>
    <x v="5"/>
    <n v="2020"/>
    <x v="10"/>
    <s v="ha"/>
    <x v="225"/>
    <s v="A"/>
    <s v="Official figure"/>
    <m/>
  </r>
  <r>
    <s v="QCL"/>
    <s v="Crops and livestock products"/>
    <n v="566"/>
    <s v="Nigeria"/>
    <n v="5412"/>
    <s v="Yield"/>
    <n v="114"/>
    <x v="5"/>
    <n v="2020"/>
    <x v="10"/>
    <s v="kg/ha"/>
    <x v="226"/>
    <s v="A"/>
    <s v="Official figure"/>
    <m/>
  </r>
  <r>
    <s v="QCL"/>
    <s v="Crops and livestock products"/>
    <n v="566"/>
    <s v="Nigeria"/>
    <n v="5510"/>
    <s v="Production"/>
    <n v="114"/>
    <x v="5"/>
    <n v="2020"/>
    <x v="10"/>
    <s v="t"/>
    <x v="227"/>
    <s v="A"/>
    <s v="Official figure"/>
    <m/>
  </r>
  <r>
    <s v="QCL"/>
    <s v="Crops and livestock products"/>
    <n v="566"/>
    <s v="Nigeria"/>
    <n v="5312"/>
    <s v="Area harvested"/>
    <n v="114"/>
    <x v="5"/>
    <n v="2021"/>
    <x v="11"/>
    <s v="ha"/>
    <x v="228"/>
    <s v="A"/>
    <s v="Official figure"/>
    <m/>
  </r>
  <r>
    <s v="QCL"/>
    <s v="Crops and livestock products"/>
    <n v="566"/>
    <s v="Nigeria"/>
    <n v="5412"/>
    <s v="Yield"/>
    <n v="114"/>
    <x v="5"/>
    <n v="2021"/>
    <x v="11"/>
    <s v="kg/ha"/>
    <x v="229"/>
    <s v="A"/>
    <s v="Official figure"/>
    <m/>
  </r>
  <r>
    <s v="QCL"/>
    <s v="Crops and livestock products"/>
    <n v="566"/>
    <s v="Nigeria"/>
    <n v="5510"/>
    <s v="Production"/>
    <n v="114"/>
    <x v="5"/>
    <n v="2021"/>
    <x v="11"/>
    <s v="t"/>
    <x v="230"/>
    <s v="A"/>
    <s v="Official figure"/>
    <m/>
  </r>
  <r>
    <s v="QCL"/>
    <s v="Crops and livestock products"/>
    <n v="566"/>
    <s v="Nigeria"/>
    <n v="5312"/>
    <s v="Area harvested"/>
    <n v="114"/>
    <x v="5"/>
    <n v="2022"/>
    <x v="12"/>
    <s v="ha"/>
    <x v="231"/>
    <s v="X"/>
    <s v="Figure from external organization"/>
    <s v="Unofficial figure"/>
  </r>
  <r>
    <s v="QCL"/>
    <s v="Crops and livestock products"/>
    <n v="566"/>
    <s v="Nigeria"/>
    <n v="5412"/>
    <s v="Yield"/>
    <n v="114"/>
    <x v="5"/>
    <n v="2022"/>
    <x v="12"/>
    <s v="kg/ha"/>
    <x v="232"/>
    <s v="X"/>
    <s v="Figure from external organization"/>
    <m/>
  </r>
  <r>
    <s v="QCL"/>
    <s v="Crops and livestock products"/>
    <n v="566"/>
    <s v="Nigeria"/>
    <n v="5510"/>
    <s v="Production"/>
    <n v="114"/>
    <x v="5"/>
    <n v="2022"/>
    <x v="12"/>
    <s v="t"/>
    <x v="233"/>
    <s v="X"/>
    <s v="Figure from external organization"/>
    <s v="Unofficial figure"/>
  </r>
  <r>
    <s v="QCL"/>
    <s v="Crops and livestock products"/>
    <n v="566"/>
    <s v="Nigeria"/>
    <n v="5312"/>
    <s v="Area harvested"/>
    <n v="1540"/>
    <x v="6"/>
    <n v="2010"/>
    <x v="0"/>
    <s v="ha"/>
    <x v="234"/>
    <s v="A"/>
    <s v="Official figure"/>
    <m/>
  </r>
  <r>
    <s v="QCL"/>
    <s v="Crops and livestock products"/>
    <n v="566"/>
    <s v="Nigeria"/>
    <n v="5412"/>
    <s v="Yield"/>
    <n v="1540"/>
    <x v="6"/>
    <n v="2010"/>
    <x v="0"/>
    <s v="kg/ha"/>
    <x v="235"/>
    <s v="A"/>
    <s v="Official figure"/>
    <m/>
  </r>
  <r>
    <s v="QCL"/>
    <s v="Crops and livestock products"/>
    <n v="566"/>
    <s v="Nigeria"/>
    <n v="5510"/>
    <s v="Production"/>
    <n v="1540"/>
    <x v="6"/>
    <n v="2010"/>
    <x v="0"/>
    <s v="t"/>
    <x v="236"/>
    <s v="A"/>
    <s v="Official figure"/>
    <m/>
  </r>
  <r>
    <s v="QCL"/>
    <s v="Crops and livestock products"/>
    <n v="566"/>
    <s v="Nigeria"/>
    <n v="5312"/>
    <s v="Area harvested"/>
    <n v="1540"/>
    <x v="6"/>
    <n v="2011"/>
    <x v="1"/>
    <s v="ha"/>
    <x v="237"/>
    <s v="A"/>
    <s v="Official figure"/>
    <m/>
  </r>
  <r>
    <s v="QCL"/>
    <s v="Crops and livestock products"/>
    <n v="566"/>
    <s v="Nigeria"/>
    <n v="5412"/>
    <s v="Yield"/>
    <n v="1540"/>
    <x v="6"/>
    <n v="2011"/>
    <x v="1"/>
    <s v="kg/ha"/>
    <x v="238"/>
    <s v="A"/>
    <s v="Official figure"/>
    <m/>
  </r>
  <r>
    <s v="QCL"/>
    <s v="Crops and livestock products"/>
    <n v="566"/>
    <s v="Nigeria"/>
    <n v="5510"/>
    <s v="Production"/>
    <n v="1540"/>
    <x v="6"/>
    <n v="2011"/>
    <x v="1"/>
    <s v="t"/>
    <x v="239"/>
    <s v="A"/>
    <s v="Official figure"/>
    <m/>
  </r>
  <r>
    <s v="QCL"/>
    <s v="Crops and livestock products"/>
    <n v="566"/>
    <s v="Nigeria"/>
    <n v="5312"/>
    <s v="Area harvested"/>
    <n v="1540"/>
    <x v="6"/>
    <n v="2012"/>
    <x v="2"/>
    <s v="ha"/>
    <x v="240"/>
    <s v="A"/>
    <s v="Official figure"/>
    <m/>
  </r>
  <r>
    <s v="QCL"/>
    <s v="Crops and livestock products"/>
    <n v="566"/>
    <s v="Nigeria"/>
    <n v="5412"/>
    <s v="Yield"/>
    <n v="1540"/>
    <x v="6"/>
    <n v="2012"/>
    <x v="2"/>
    <s v="kg/ha"/>
    <x v="241"/>
    <s v="A"/>
    <s v="Official figure"/>
    <m/>
  </r>
  <r>
    <s v="QCL"/>
    <s v="Crops and livestock products"/>
    <n v="566"/>
    <s v="Nigeria"/>
    <n v="5510"/>
    <s v="Production"/>
    <n v="1540"/>
    <x v="6"/>
    <n v="2012"/>
    <x v="2"/>
    <s v="t"/>
    <x v="242"/>
    <s v="A"/>
    <s v="Official figure"/>
    <m/>
  </r>
  <r>
    <s v="QCL"/>
    <s v="Crops and livestock products"/>
    <n v="566"/>
    <s v="Nigeria"/>
    <n v="5312"/>
    <s v="Area harvested"/>
    <n v="1540"/>
    <x v="6"/>
    <n v="2013"/>
    <x v="3"/>
    <s v="ha"/>
    <x v="243"/>
    <s v="A"/>
    <s v="Official figure"/>
    <m/>
  </r>
  <r>
    <s v="QCL"/>
    <s v="Crops and livestock products"/>
    <n v="566"/>
    <s v="Nigeria"/>
    <n v="5412"/>
    <s v="Yield"/>
    <n v="1540"/>
    <x v="6"/>
    <n v="2013"/>
    <x v="3"/>
    <s v="kg/ha"/>
    <x v="244"/>
    <s v="A"/>
    <s v="Official figure"/>
    <m/>
  </r>
  <r>
    <s v="QCL"/>
    <s v="Crops and livestock products"/>
    <n v="566"/>
    <s v="Nigeria"/>
    <n v="5510"/>
    <s v="Production"/>
    <n v="1540"/>
    <x v="6"/>
    <n v="2013"/>
    <x v="3"/>
    <s v="t"/>
    <x v="245"/>
    <s v="A"/>
    <s v="Official figure"/>
    <m/>
  </r>
  <r>
    <s v="QCL"/>
    <s v="Crops and livestock products"/>
    <n v="566"/>
    <s v="Nigeria"/>
    <n v="5312"/>
    <s v="Area harvested"/>
    <n v="1540"/>
    <x v="6"/>
    <n v="2014"/>
    <x v="4"/>
    <s v="ha"/>
    <x v="246"/>
    <s v="A"/>
    <s v="Official figure"/>
    <m/>
  </r>
  <r>
    <s v="QCL"/>
    <s v="Crops and livestock products"/>
    <n v="566"/>
    <s v="Nigeria"/>
    <n v="5412"/>
    <s v="Yield"/>
    <n v="1540"/>
    <x v="6"/>
    <n v="2014"/>
    <x v="4"/>
    <s v="kg/ha"/>
    <x v="247"/>
    <s v="A"/>
    <s v="Official figure"/>
    <m/>
  </r>
  <r>
    <s v="QCL"/>
    <s v="Crops and livestock products"/>
    <n v="566"/>
    <s v="Nigeria"/>
    <n v="5510"/>
    <s v="Production"/>
    <n v="1540"/>
    <x v="6"/>
    <n v="2014"/>
    <x v="4"/>
    <s v="t"/>
    <x v="248"/>
    <s v="A"/>
    <s v="Official figure"/>
    <m/>
  </r>
  <r>
    <s v="QCL"/>
    <s v="Crops and livestock products"/>
    <n v="566"/>
    <s v="Nigeria"/>
    <n v="5312"/>
    <s v="Area harvested"/>
    <n v="1540"/>
    <x v="6"/>
    <n v="2015"/>
    <x v="5"/>
    <s v="ha"/>
    <x v="249"/>
    <s v="A"/>
    <s v="Official figure"/>
    <m/>
  </r>
  <r>
    <s v="QCL"/>
    <s v="Crops and livestock products"/>
    <n v="566"/>
    <s v="Nigeria"/>
    <n v="5412"/>
    <s v="Yield"/>
    <n v="1540"/>
    <x v="6"/>
    <n v="2015"/>
    <x v="5"/>
    <s v="kg/ha"/>
    <x v="250"/>
    <s v="A"/>
    <s v="Official figure"/>
    <m/>
  </r>
  <r>
    <s v="QCL"/>
    <s v="Crops and livestock products"/>
    <n v="566"/>
    <s v="Nigeria"/>
    <n v="5510"/>
    <s v="Production"/>
    <n v="1540"/>
    <x v="6"/>
    <n v="2015"/>
    <x v="5"/>
    <s v="t"/>
    <x v="251"/>
    <s v="A"/>
    <s v="Official figure"/>
    <m/>
  </r>
  <r>
    <s v="QCL"/>
    <s v="Crops and livestock products"/>
    <n v="566"/>
    <s v="Nigeria"/>
    <n v="5312"/>
    <s v="Area harvested"/>
    <n v="1540"/>
    <x v="6"/>
    <n v="2016"/>
    <x v="6"/>
    <s v="ha"/>
    <x v="252"/>
    <s v="A"/>
    <s v="Official figure"/>
    <m/>
  </r>
  <r>
    <s v="QCL"/>
    <s v="Crops and livestock products"/>
    <n v="566"/>
    <s v="Nigeria"/>
    <n v="5412"/>
    <s v="Yield"/>
    <n v="1540"/>
    <x v="6"/>
    <n v="2016"/>
    <x v="6"/>
    <s v="kg/ha"/>
    <x v="253"/>
    <s v="A"/>
    <s v="Official figure"/>
    <m/>
  </r>
  <r>
    <s v="QCL"/>
    <s v="Crops and livestock products"/>
    <n v="566"/>
    <s v="Nigeria"/>
    <n v="5510"/>
    <s v="Production"/>
    <n v="1540"/>
    <x v="6"/>
    <n v="2016"/>
    <x v="6"/>
    <s v="t"/>
    <x v="254"/>
    <s v="A"/>
    <s v="Official figure"/>
    <m/>
  </r>
  <r>
    <s v="QCL"/>
    <s v="Crops and livestock products"/>
    <n v="566"/>
    <s v="Nigeria"/>
    <n v="5312"/>
    <s v="Area harvested"/>
    <n v="1540"/>
    <x v="6"/>
    <n v="2017"/>
    <x v="7"/>
    <s v="ha"/>
    <x v="255"/>
    <s v="A"/>
    <s v="Official figure"/>
    <m/>
  </r>
  <r>
    <s v="QCL"/>
    <s v="Crops and livestock products"/>
    <n v="566"/>
    <s v="Nigeria"/>
    <n v="5412"/>
    <s v="Yield"/>
    <n v="1540"/>
    <x v="6"/>
    <n v="2017"/>
    <x v="7"/>
    <s v="kg/ha"/>
    <x v="256"/>
    <s v="A"/>
    <s v="Official figure"/>
    <m/>
  </r>
  <r>
    <s v="QCL"/>
    <s v="Crops and livestock products"/>
    <n v="566"/>
    <s v="Nigeria"/>
    <n v="5510"/>
    <s v="Production"/>
    <n v="1540"/>
    <x v="6"/>
    <n v="2017"/>
    <x v="7"/>
    <s v="t"/>
    <x v="257"/>
    <s v="A"/>
    <s v="Official figure"/>
    <m/>
  </r>
  <r>
    <s v="QCL"/>
    <s v="Crops and livestock products"/>
    <n v="566"/>
    <s v="Nigeria"/>
    <n v="5312"/>
    <s v="Area harvested"/>
    <n v="1540"/>
    <x v="6"/>
    <n v="2018"/>
    <x v="8"/>
    <s v="ha"/>
    <x v="258"/>
    <s v="A"/>
    <s v="Official figure"/>
    <m/>
  </r>
  <r>
    <s v="QCL"/>
    <s v="Crops and livestock products"/>
    <n v="566"/>
    <s v="Nigeria"/>
    <n v="5412"/>
    <s v="Yield"/>
    <n v="1540"/>
    <x v="6"/>
    <n v="2018"/>
    <x v="8"/>
    <s v="kg/ha"/>
    <x v="259"/>
    <s v="A"/>
    <s v="Official figure"/>
    <m/>
  </r>
  <r>
    <s v="QCL"/>
    <s v="Crops and livestock products"/>
    <n v="566"/>
    <s v="Nigeria"/>
    <n v="5510"/>
    <s v="Production"/>
    <n v="1540"/>
    <x v="6"/>
    <n v="2018"/>
    <x v="8"/>
    <s v="t"/>
    <x v="260"/>
    <s v="A"/>
    <s v="Official figure"/>
    <m/>
  </r>
  <r>
    <s v="QCL"/>
    <s v="Crops and livestock products"/>
    <n v="566"/>
    <s v="Nigeria"/>
    <n v="5312"/>
    <s v="Area harvested"/>
    <n v="1540"/>
    <x v="6"/>
    <n v="2019"/>
    <x v="9"/>
    <s v="ha"/>
    <x v="261"/>
    <s v="A"/>
    <s v="Official figure"/>
    <m/>
  </r>
  <r>
    <s v="QCL"/>
    <s v="Crops and livestock products"/>
    <n v="566"/>
    <s v="Nigeria"/>
    <n v="5412"/>
    <s v="Yield"/>
    <n v="1540"/>
    <x v="6"/>
    <n v="2019"/>
    <x v="9"/>
    <s v="kg/ha"/>
    <x v="262"/>
    <s v="A"/>
    <s v="Official figure"/>
    <m/>
  </r>
  <r>
    <s v="QCL"/>
    <s v="Crops and livestock products"/>
    <n v="566"/>
    <s v="Nigeria"/>
    <n v="5510"/>
    <s v="Production"/>
    <n v="1540"/>
    <x v="6"/>
    <n v="2019"/>
    <x v="9"/>
    <s v="t"/>
    <x v="263"/>
    <s v="A"/>
    <s v="Official figure"/>
    <m/>
  </r>
  <r>
    <s v="QCL"/>
    <s v="Crops and livestock products"/>
    <n v="566"/>
    <s v="Nigeria"/>
    <n v="5312"/>
    <s v="Area harvested"/>
    <n v="1540"/>
    <x v="6"/>
    <n v="2020"/>
    <x v="10"/>
    <s v="ha"/>
    <x v="264"/>
    <s v="A"/>
    <s v="Official figure"/>
    <m/>
  </r>
  <r>
    <s v="QCL"/>
    <s v="Crops and livestock products"/>
    <n v="566"/>
    <s v="Nigeria"/>
    <n v="5412"/>
    <s v="Yield"/>
    <n v="1540"/>
    <x v="6"/>
    <n v="2020"/>
    <x v="10"/>
    <s v="kg/ha"/>
    <x v="265"/>
    <s v="A"/>
    <s v="Official figure"/>
    <m/>
  </r>
  <r>
    <s v="QCL"/>
    <s v="Crops and livestock products"/>
    <n v="566"/>
    <s v="Nigeria"/>
    <n v="5510"/>
    <s v="Production"/>
    <n v="1540"/>
    <x v="6"/>
    <n v="2020"/>
    <x v="10"/>
    <s v="t"/>
    <x v="266"/>
    <s v="A"/>
    <s v="Official figure"/>
    <m/>
  </r>
  <r>
    <s v="QCL"/>
    <s v="Crops and livestock products"/>
    <n v="566"/>
    <s v="Nigeria"/>
    <n v="5312"/>
    <s v="Area harvested"/>
    <n v="1540"/>
    <x v="6"/>
    <n v="2021"/>
    <x v="11"/>
    <s v="ha"/>
    <x v="267"/>
    <s v="A"/>
    <s v="Official figure"/>
    <m/>
  </r>
  <r>
    <s v="QCL"/>
    <s v="Crops and livestock products"/>
    <n v="566"/>
    <s v="Nigeria"/>
    <n v="5412"/>
    <s v="Yield"/>
    <n v="1540"/>
    <x v="6"/>
    <n v="2021"/>
    <x v="11"/>
    <s v="kg/ha"/>
    <x v="268"/>
    <s v="A"/>
    <s v="Official figure"/>
    <m/>
  </r>
  <r>
    <s v="QCL"/>
    <s v="Crops and livestock products"/>
    <n v="566"/>
    <s v="Nigeria"/>
    <n v="5510"/>
    <s v="Production"/>
    <n v="1540"/>
    <x v="6"/>
    <n v="2021"/>
    <x v="11"/>
    <s v="t"/>
    <x v="269"/>
    <s v="A"/>
    <s v="Official figure"/>
    <m/>
  </r>
  <r>
    <s v="QCL"/>
    <s v="Crops and livestock products"/>
    <n v="566"/>
    <s v="Nigeria"/>
    <n v="5312"/>
    <s v="Area harvested"/>
    <n v="1540"/>
    <x v="6"/>
    <n v="2022"/>
    <x v="12"/>
    <s v="ha"/>
    <x v="270"/>
    <s v="I"/>
    <s v="Value imputed by a receiving agency"/>
    <m/>
  </r>
  <r>
    <s v="QCL"/>
    <s v="Crops and livestock products"/>
    <n v="566"/>
    <s v="Nigeria"/>
    <n v="5412"/>
    <s v="Yield"/>
    <n v="1540"/>
    <x v="6"/>
    <n v="2022"/>
    <x v="12"/>
    <s v="kg/ha"/>
    <x v="271"/>
    <s v="E"/>
    <s v="Estimated value"/>
    <m/>
  </r>
  <r>
    <s v="QCL"/>
    <s v="Crops and livestock products"/>
    <n v="566"/>
    <s v="Nigeria"/>
    <n v="5510"/>
    <s v="Production"/>
    <n v="1540"/>
    <x v="6"/>
    <n v="2022"/>
    <x v="12"/>
    <s v="t"/>
    <x v="272"/>
    <s v="I"/>
    <s v="Value imputed by a receiving agency"/>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4E15064-BCF8-4580-8F71-41F13F1758AA}" name="PivotTable1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1" firstHeaderRow="1" firstDataRow="1" firstDataCol="1"/>
  <pivotFields count="15">
    <pivotField showAll="0"/>
    <pivotField showAll="0"/>
    <pivotField showAll="0"/>
    <pivotField showAll="0"/>
    <pivotField showAll="0"/>
    <pivotField showAll="0"/>
    <pivotField showAll="0"/>
    <pivotField axis="axisRow" showAll="0">
      <items count="8">
        <item x="0"/>
        <item x="1"/>
        <item x="2"/>
        <item x="3"/>
        <item x="4"/>
        <item x="5"/>
        <item x="6"/>
        <item t="default"/>
      </items>
    </pivotField>
    <pivotField showAll="0"/>
    <pivotField showAll="0">
      <items count="14">
        <item x="0"/>
        <item x="1"/>
        <item x="2"/>
        <item x="3"/>
        <item x="4"/>
        <item x="5"/>
        <item x="6"/>
        <item x="7"/>
        <item x="8"/>
        <item x="9"/>
        <item x="10"/>
        <item x="11"/>
        <item x="12"/>
        <item t="default"/>
      </items>
    </pivotField>
    <pivotField showAll="0"/>
    <pivotField dataField="1" showAll="0">
      <items count="274">
        <item x="121"/>
        <item x="127"/>
        <item x="139"/>
        <item x="136"/>
        <item x="49"/>
        <item x="124"/>
        <item x="154"/>
        <item x="205"/>
        <item x="133"/>
        <item x="148"/>
        <item x="142"/>
        <item x="151"/>
        <item x="145"/>
        <item x="229"/>
        <item x="226"/>
        <item x="73"/>
        <item x="202"/>
        <item x="70"/>
        <item x="130"/>
        <item x="118"/>
        <item x="211"/>
        <item x="217"/>
        <item x="232"/>
        <item x="208"/>
        <item x="220"/>
        <item x="67"/>
        <item x="52"/>
        <item x="199"/>
        <item x="64"/>
        <item x="223"/>
        <item x="55"/>
        <item x="46"/>
        <item x="61"/>
        <item x="43"/>
        <item x="76"/>
        <item x="58"/>
        <item x="40"/>
        <item x="214"/>
        <item x="196"/>
        <item x="88"/>
        <item x="85"/>
        <item x="82"/>
        <item x="100"/>
        <item x="103"/>
        <item x="91"/>
        <item x="94"/>
        <item x="97"/>
        <item x="157"/>
        <item x="79"/>
        <item x="193"/>
        <item x="106"/>
        <item x="163"/>
        <item x="190"/>
        <item x="187"/>
        <item x="166"/>
        <item x="175"/>
        <item x="160"/>
        <item x="184"/>
        <item x="109"/>
        <item x="112"/>
        <item x="181"/>
        <item x="172"/>
        <item x="178"/>
        <item x="169"/>
        <item x="115"/>
        <item x="31"/>
        <item x="28"/>
        <item x="34"/>
        <item x="37"/>
        <item x="244"/>
        <item x="10"/>
        <item x="241"/>
        <item x="16"/>
        <item x="238"/>
        <item x="13"/>
        <item x="262"/>
        <item x="265"/>
        <item x="7"/>
        <item x="268"/>
        <item x="271"/>
        <item x="250"/>
        <item x="247"/>
        <item x="22"/>
        <item x="19"/>
        <item x="253"/>
        <item x="256"/>
        <item x="25"/>
        <item x="259"/>
        <item x="4"/>
        <item x="1"/>
        <item x="235"/>
        <item x="128"/>
        <item x="122"/>
        <item x="125"/>
        <item x="123"/>
        <item x="126"/>
        <item x="137"/>
        <item x="140"/>
        <item x="129"/>
        <item x="141"/>
        <item x="135"/>
        <item x="132"/>
        <item x="144"/>
        <item x="147"/>
        <item x="150"/>
        <item x="138"/>
        <item x="134"/>
        <item x="131"/>
        <item x="143"/>
        <item x="149"/>
        <item x="146"/>
        <item x="152"/>
        <item x="155"/>
        <item x="153"/>
        <item x="159"/>
        <item x="42"/>
        <item x="156"/>
        <item x="50"/>
        <item x="45"/>
        <item x="48"/>
        <item x="39"/>
        <item x="51"/>
        <item x="54"/>
        <item x="120"/>
        <item x="162"/>
        <item x="234"/>
        <item x="165"/>
        <item x="44"/>
        <item x="168"/>
        <item x="47"/>
        <item x="53"/>
        <item x="75"/>
        <item x="57"/>
        <item x="56"/>
        <item x="0"/>
        <item x="60"/>
        <item x="66"/>
        <item x="69"/>
        <item x="171"/>
        <item x="72"/>
        <item x="63"/>
        <item x="177"/>
        <item x="41"/>
        <item x="174"/>
        <item x="180"/>
        <item x="3"/>
        <item x="183"/>
        <item x="78"/>
        <item x="186"/>
        <item x="74"/>
        <item x="71"/>
        <item x="77"/>
        <item x="189"/>
        <item x="68"/>
        <item x="59"/>
        <item x="117"/>
        <item x="158"/>
        <item x="237"/>
        <item x="240"/>
        <item x="62"/>
        <item x="192"/>
        <item x="65"/>
        <item x="161"/>
        <item x="198"/>
        <item x="195"/>
        <item x="243"/>
        <item x="201"/>
        <item x="119"/>
        <item x="255"/>
        <item x="206"/>
        <item x="246"/>
        <item x="252"/>
        <item x="249"/>
        <item x="222"/>
        <item x="258"/>
        <item x="164"/>
        <item x="204"/>
        <item x="81"/>
        <item x="213"/>
        <item x="93"/>
        <item x="219"/>
        <item x="200"/>
        <item x="231"/>
        <item x="207"/>
        <item x="84"/>
        <item x="87"/>
        <item x="225"/>
        <item x="114"/>
        <item x="167"/>
        <item x="216"/>
        <item x="203"/>
        <item x="210"/>
        <item x="96"/>
        <item x="228"/>
        <item x="108"/>
        <item x="111"/>
        <item x="90"/>
        <item x="99"/>
        <item x="6"/>
        <item x="102"/>
        <item x="227"/>
        <item x="224"/>
        <item x="18"/>
        <item x="170"/>
        <item x="230"/>
        <item x="9"/>
        <item x="21"/>
        <item x="261"/>
        <item x="105"/>
        <item x="221"/>
        <item x="233"/>
        <item x="209"/>
        <item x="218"/>
        <item x="24"/>
        <item x="212"/>
        <item x="12"/>
        <item x="264"/>
        <item x="197"/>
        <item x="270"/>
        <item x="267"/>
        <item x="215"/>
        <item x="173"/>
        <item x="80"/>
        <item x="176"/>
        <item x="179"/>
        <item x="15"/>
        <item x="188"/>
        <item x="191"/>
        <item x="182"/>
        <item x="89"/>
        <item x="185"/>
        <item x="194"/>
        <item x="86"/>
        <item x="83"/>
        <item x="95"/>
        <item x="30"/>
        <item x="27"/>
        <item x="33"/>
        <item x="36"/>
        <item x="98"/>
        <item x="101"/>
        <item x="92"/>
        <item x="104"/>
        <item x="110"/>
        <item x="107"/>
        <item x="113"/>
        <item x="116"/>
        <item x="242"/>
        <item x="239"/>
        <item x="245"/>
        <item x="236"/>
        <item x="2"/>
        <item x="248"/>
        <item x="251"/>
        <item x="5"/>
        <item x="11"/>
        <item x="254"/>
        <item x="257"/>
        <item x="8"/>
        <item x="263"/>
        <item x="14"/>
        <item x="260"/>
        <item x="32"/>
        <item x="266"/>
        <item x="29"/>
        <item x="17"/>
        <item x="35"/>
        <item x="269"/>
        <item x="20"/>
        <item x="272"/>
        <item x="23"/>
        <item x="38"/>
        <item x="26"/>
        <item t="default"/>
      </items>
    </pivotField>
    <pivotField showAll="0"/>
    <pivotField showAll="0"/>
    <pivotField showAll="0"/>
  </pivotFields>
  <rowFields count="1">
    <field x="7"/>
  </rowFields>
  <rowItems count="8">
    <i>
      <x/>
    </i>
    <i>
      <x v="1"/>
    </i>
    <i>
      <x v="2"/>
    </i>
    <i>
      <x v="3"/>
    </i>
    <i>
      <x v="4"/>
    </i>
    <i>
      <x v="5"/>
    </i>
    <i>
      <x v="6"/>
    </i>
    <i t="grand">
      <x/>
    </i>
  </rowItems>
  <colItems count="1">
    <i/>
  </colItems>
  <dataFields count="1">
    <dataField name="Average of Value" fld="11" subtotal="average"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E2732FB-EAE2-4275-8CBB-B0E63D2E0E5F}" name="PivotTable1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19:I34" firstHeaderRow="1" firstDataRow="2" firstDataCol="1"/>
  <pivotFields count="15">
    <pivotField showAll="0"/>
    <pivotField showAll="0"/>
    <pivotField showAll="0"/>
    <pivotField showAll="0"/>
    <pivotField showAll="0"/>
    <pivotField showAll="0"/>
    <pivotField showAll="0"/>
    <pivotField axis="axisCol" showAll="0">
      <items count="8">
        <item x="0"/>
        <item x="1"/>
        <item x="2"/>
        <item x="3"/>
        <item x="4"/>
        <item x="5"/>
        <item x="6"/>
        <item t="default"/>
      </items>
    </pivotField>
    <pivotField showAll="0"/>
    <pivotField axis="axisRow" showAll="0">
      <items count="14">
        <item x="0"/>
        <item x="1"/>
        <item x="2"/>
        <item x="3"/>
        <item x="4"/>
        <item x="5"/>
        <item x="6"/>
        <item x="7"/>
        <item x="8"/>
        <item x="9"/>
        <item x="10"/>
        <item x="11"/>
        <item x="12"/>
        <item t="default"/>
      </items>
    </pivotField>
    <pivotField showAll="0"/>
    <pivotField dataField="1" showAll="0">
      <items count="274">
        <item x="121"/>
        <item x="127"/>
        <item x="139"/>
        <item x="136"/>
        <item x="49"/>
        <item x="124"/>
        <item x="154"/>
        <item x="205"/>
        <item x="133"/>
        <item x="148"/>
        <item x="142"/>
        <item x="151"/>
        <item x="145"/>
        <item x="229"/>
        <item x="226"/>
        <item x="73"/>
        <item x="202"/>
        <item x="70"/>
        <item x="130"/>
        <item x="118"/>
        <item x="211"/>
        <item x="217"/>
        <item x="232"/>
        <item x="208"/>
        <item x="220"/>
        <item x="67"/>
        <item x="52"/>
        <item x="199"/>
        <item x="64"/>
        <item x="223"/>
        <item x="55"/>
        <item x="46"/>
        <item x="61"/>
        <item x="43"/>
        <item x="76"/>
        <item x="58"/>
        <item x="40"/>
        <item x="214"/>
        <item x="196"/>
        <item x="88"/>
        <item x="85"/>
        <item x="82"/>
        <item x="100"/>
        <item x="103"/>
        <item x="91"/>
        <item x="94"/>
        <item x="97"/>
        <item x="157"/>
        <item x="79"/>
        <item x="193"/>
        <item x="106"/>
        <item x="163"/>
        <item x="190"/>
        <item x="187"/>
        <item x="166"/>
        <item x="175"/>
        <item x="160"/>
        <item x="184"/>
        <item x="109"/>
        <item x="112"/>
        <item x="181"/>
        <item x="172"/>
        <item x="178"/>
        <item x="169"/>
        <item x="115"/>
        <item x="31"/>
        <item x="28"/>
        <item x="34"/>
        <item x="37"/>
        <item x="244"/>
        <item x="10"/>
        <item x="241"/>
        <item x="16"/>
        <item x="238"/>
        <item x="13"/>
        <item x="262"/>
        <item x="265"/>
        <item x="7"/>
        <item x="268"/>
        <item x="271"/>
        <item x="250"/>
        <item x="247"/>
        <item x="22"/>
        <item x="19"/>
        <item x="253"/>
        <item x="256"/>
        <item x="25"/>
        <item x="259"/>
        <item x="4"/>
        <item x="1"/>
        <item x="235"/>
        <item x="128"/>
        <item x="122"/>
        <item x="125"/>
        <item x="123"/>
        <item x="126"/>
        <item x="137"/>
        <item x="140"/>
        <item x="129"/>
        <item x="141"/>
        <item x="135"/>
        <item x="132"/>
        <item x="144"/>
        <item x="147"/>
        <item x="150"/>
        <item x="138"/>
        <item x="134"/>
        <item x="131"/>
        <item x="143"/>
        <item x="149"/>
        <item x="146"/>
        <item x="152"/>
        <item x="155"/>
        <item x="153"/>
        <item x="159"/>
        <item x="42"/>
        <item x="156"/>
        <item x="50"/>
        <item x="45"/>
        <item x="48"/>
        <item x="39"/>
        <item x="51"/>
        <item x="54"/>
        <item x="120"/>
        <item x="162"/>
        <item x="234"/>
        <item x="165"/>
        <item x="44"/>
        <item x="168"/>
        <item x="47"/>
        <item x="53"/>
        <item x="75"/>
        <item x="57"/>
        <item x="56"/>
        <item x="0"/>
        <item x="60"/>
        <item x="66"/>
        <item x="69"/>
        <item x="171"/>
        <item x="72"/>
        <item x="63"/>
        <item x="177"/>
        <item x="41"/>
        <item x="174"/>
        <item x="180"/>
        <item x="3"/>
        <item x="183"/>
        <item x="78"/>
        <item x="186"/>
        <item x="74"/>
        <item x="71"/>
        <item x="77"/>
        <item x="189"/>
        <item x="68"/>
        <item x="59"/>
        <item x="117"/>
        <item x="158"/>
        <item x="237"/>
        <item x="240"/>
        <item x="62"/>
        <item x="192"/>
        <item x="65"/>
        <item x="161"/>
        <item x="198"/>
        <item x="195"/>
        <item x="243"/>
        <item x="201"/>
        <item x="119"/>
        <item x="255"/>
        <item x="206"/>
        <item x="246"/>
        <item x="252"/>
        <item x="249"/>
        <item x="222"/>
        <item x="258"/>
        <item x="164"/>
        <item x="204"/>
        <item x="81"/>
        <item x="213"/>
        <item x="93"/>
        <item x="219"/>
        <item x="200"/>
        <item x="231"/>
        <item x="207"/>
        <item x="84"/>
        <item x="87"/>
        <item x="225"/>
        <item x="114"/>
        <item x="167"/>
        <item x="216"/>
        <item x="203"/>
        <item x="210"/>
        <item x="96"/>
        <item x="228"/>
        <item x="108"/>
        <item x="111"/>
        <item x="90"/>
        <item x="99"/>
        <item x="6"/>
        <item x="102"/>
        <item x="227"/>
        <item x="224"/>
        <item x="18"/>
        <item x="170"/>
        <item x="230"/>
        <item x="9"/>
        <item x="21"/>
        <item x="261"/>
        <item x="105"/>
        <item x="221"/>
        <item x="233"/>
        <item x="209"/>
        <item x="218"/>
        <item x="24"/>
        <item x="212"/>
        <item x="12"/>
        <item x="264"/>
        <item x="197"/>
        <item x="270"/>
        <item x="267"/>
        <item x="215"/>
        <item x="173"/>
        <item x="80"/>
        <item x="176"/>
        <item x="179"/>
        <item x="15"/>
        <item x="188"/>
        <item x="191"/>
        <item x="182"/>
        <item x="89"/>
        <item x="185"/>
        <item x="194"/>
        <item x="86"/>
        <item x="83"/>
        <item x="95"/>
        <item x="30"/>
        <item x="27"/>
        <item x="33"/>
        <item x="36"/>
        <item x="98"/>
        <item x="101"/>
        <item x="92"/>
        <item x="104"/>
        <item x="110"/>
        <item x="107"/>
        <item x="113"/>
        <item x="116"/>
        <item x="242"/>
        <item x="239"/>
        <item x="245"/>
        <item x="236"/>
        <item x="2"/>
        <item x="248"/>
        <item x="251"/>
        <item x="5"/>
        <item x="11"/>
        <item x="254"/>
        <item x="257"/>
        <item x="8"/>
        <item x="263"/>
        <item x="14"/>
        <item x="260"/>
        <item x="32"/>
        <item x="266"/>
        <item x="29"/>
        <item x="17"/>
        <item x="35"/>
        <item x="269"/>
        <item x="20"/>
        <item x="272"/>
        <item x="23"/>
        <item x="38"/>
        <item x="26"/>
        <item t="default"/>
      </items>
    </pivotField>
    <pivotField showAll="0"/>
    <pivotField showAll="0"/>
    <pivotField showAll="0"/>
  </pivotFields>
  <rowFields count="1">
    <field x="9"/>
  </rowFields>
  <rowItems count="14">
    <i>
      <x/>
    </i>
    <i>
      <x v="1"/>
    </i>
    <i>
      <x v="2"/>
    </i>
    <i>
      <x v="3"/>
    </i>
    <i>
      <x v="4"/>
    </i>
    <i>
      <x v="5"/>
    </i>
    <i>
      <x v="6"/>
    </i>
    <i>
      <x v="7"/>
    </i>
    <i>
      <x v="8"/>
    </i>
    <i>
      <x v="9"/>
    </i>
    <i>
      <x v="10"/>
    </i>
    <i>
      <x v="11"/>
    </i>
    <i>
      <x v="12"/>
    </i>
    <i t="grand">
      <x/>
    </i>
  </rowItems>
  <colFields count="1">
    <field x="7"/>
  </colFields>
  <colItems count="8">
    <i>
      <x/>
    </i>
    <i>
      <x v="1"/>
    </i>
    <i>
      <x v="2"/>
    </i>
    <i>
      <x v="3"/>
    </i>
    <i>
      <x v="4"/>
    </i>
    <i>
      <x v="5"/>
    </i>
    <i>
      <x v="6"/>
    </i>
    <i t="grand">
      <x/>
    </i>
  </colItems>
  <dataFields count="1">
    <dataField name="Average of Value" fld="11" subtotal="average" baseField="0" baseItem="0"/>
  </dataFields>
  <chartFormats count="28">
    <chartFormat chart="6" format="0" series="1">
      <pivotArea type="data" outline="0" fieldPosition="0">
        <references count="2">
          <reference field="4294967294" count="1" selected="0">
            <x v="0"/>
          </reference>
          <reference field="7" count="1" selected="0">
            <x v="0"/>
          </reference>
        </references>
      </pivotArea>
    </chartFormat>
    <chartFormat chart="6" format="1" series="1">
      <pivotArea type="data" outline="0" fieldPosition="0">
        <references count="2">
          <reference field="4294967294" count="1" selected="0">
            <x v="0"/>
          </reference>
          <reference field="7" count="1" selected="0">
            <x v="1"/>
          </reference>
        </references>
      </pivotArea>
    </chartFormat>
    <chartFormat chart="6" format="2" series="1">
      <pivotArea type="data" outline="0" fieldPosition="0">
        <references count="2">
          <reference field="4294967294" count="1" selected="0">
            <x v="0"/>
          </reference>
          <reference field="7" count="1" selected="0">
            <x v="2"/>
          </reference>
        </references>
      </pivotArea>
    </chartFormat>
    <chartFormat chart="6" format="3" series="1">
      <pivotArea type="data" outline="0" fieldPosition="0">
        <references count="2">
          <reference field="4294967294" count="1" selected="0">
            <x v="0"/>
          </reference>
          <reference field="7" count="1" selected="0">
            <x v="3"/>
          </reference>
        </references>
      </pivotArea>
    </chartFormat>
    <chartFormat chart="6" format="4" series="1">
      <pivotArea type="data" outline="0" fieldPosition="0">
        <references count="2">
          <reference field="4294967294" count="1" selected="0">
            <x v="0"/>
          </reference>
          <reference field="7" count="1" selected="0">
            <x v="4"/>
          </reference>
        </references>
      </pivotArea>
    </chartFormat>
    <chartFormat chart="6" format="5" series="1">
      <pivotArea type="data" outline="0" fieldPosition="0">
        <references count="2">
          <reference field="4294967294" count="1" selected="0">
            <x v="0"/>
          </reference>
          <reference field="7" count="1" selected="0">
            <x v="5"/>
          </reference>
        </references>
      </pivotArea>
    </chartFormat>
    <chartFormat chart="6" format="6" series="1">
      <pivotArea type="data" outline="0" fieldPosition="0">
        <references count="2">
          <reference field="4294967294" count="1" selected="0">
            <x v="0"/>
          </reference>
          <reference field="7" count="1" selected="0">
            <x v="6"/>
          </reference>
        </references>
      </pivotArea>
    </chartFormat>
    <chartFormat chart="13" format="12" series="1">
      <pivotArea type="data" outline="0" fieldPosition="0">
        <references count="2">
          <reference field="4294967294" count="1" selected="0">
            <x v="0"/>
          </reference>
          <reference field="7" count="1" selected="0">
            <x v="0"/>
          </reference>
        </references>
      </pivotArea>
    </chartFormat>
    <chartFormat chart="13" format="13" series="1">
      <pivotArea type="data" outline="0" fieldPosition="0">
        <references count="2">
          <reference field="4294967294" count="1" selected="0">
            <x v="0"/>
          </reference>
          <reference field="7" count="1" selected="0">
            <x v="2"/>
          </reference>
        </references>
      </pivotArea>
    </chartFormat>
    <chartFormat chart="13" format="14" series="1">
      <pivotArea type="data" outline="0" fieldPosition="0">
        <references count="2">
          <reference field="4294967294" count="1" selected="0">
            <x v="0"/>
          </reference>
          <reference field="7" count="1" selected="0">
            <x v="4"/>
          </reference>
        </references>
      </pivotArea>
    </chartFormat>
    <chartFormat chart="13" format="15" series="1">
      <pivotArea type="data" outline="0" fieldPosition="0">
        <references count="2">
          <reference field="4294967294" count="1" selected="0">
            <x v="0"/>
          </reference>
          <reference field="7" count="1" selected="0">
            <x v="5"/>
          </reference>
        </references>
      </pivotArea>
    </chartFormat>
    <chartFormat chart="13" format="16" series="1">
      <pivotArea type="data" outline="0" fieldPosition="0">
        <references count="2">
          <reference field="4294967294" count="1" selected="0">
            <x v="0"/>
          </reference>
          <reference field="7" count="1" selected="0">
            <x v="6"/>
          </reference>
        </references>
      </pivotArea>
    </chartFormat>
    <chartFormat chart="13" format="17" series="1">
      <pivotArea type="data" outline="0" fieldPosition="0">
        <references count="2">
          <reference field="4294967294" count="1" selected="0">
            <x v="0"/>
          </reference>
          <reference field="7" count="1" selected="0">
            <x v="1"/>
          </reference>
        </references>
      </pivotArea>
    </chartFormat>
    <chartFormat chart="13" format="18" series="1">
      <pivotArea type="data" outline="0" fieldPosition="0">
        <references count="2">
          <reference field="4294967294" count="1" selected="0">
            <x v="0"/>
          </reference>
          <reference field="7" count="1" selected="0">
            <x v="3"/>
          </reference>
        </references>
      </pivotArea>
    </chartFormat>
    <chartFormat chart="14" format="0" series="1">
      <pivotArea type="data" outline="0" fieldPosition="0">
        <references count="2">
          <reference field="4294967294" count="1" selected="0">
            <x v="0"/>
          </reference>
          <reference field="7" count="1" selected="0">
            <x v="0"/>
          </reference>
        </references>
      </pivotArea>
    </chartFormat>
    <chartFormat chart="14" format="1" series="1">
      <pivotArea type="data" outline="0" fieldPosition="0">
        <references count="2">
          <reference field="4294967294" count="1" selected="0">
            <x v="0"/>
          </reference>
          <reference field="7" count="1" selected="0">
            <x v="1"/>
          </reference>
        </references>
      </pivotArea>
    </chartFormat>
    <chartFormat chart="14" format="2" series="1">
      <pivotArea type="data" outline="0" fieldPosition="0">
        <references count="2">
          <reference field="4294967294" count="1" selected="0">
            <x v="0"/>
          </reference>
          <reference field="7" count="1" selected="0">
            <x v="2"/>
          </reference>
        </references>
      </pivotArea>
    </chartFormat>
    <chartFormat chart="14" format="3" series="1">
      <pivotArea type="data" outline="0" fieldPosition="0">
        <references count="2">
          <reference field="4294967294" count="1" selected="0">
            <x v="0"/>
          </reference>
          <reference field="7" count="1" selected="0">
            <x v="3"/>
          </reference>
        </references>
      </pivotArea>
    </chartFormat>
    <chartFormat chart="14" format="4" series="1">
      <pivotArea type="data" outline="0" fieldPosition="0">
        <references count="2">
          <reference field="4294967294" count="1" selected="0">
            <x v="0"/>
          </reference>
          <reference field="7" count="1" selected="0">
            <x v="4"/>
          </reference>
        </references>
      </pivotArea>
    </chartFormat>
    <chartFormat chart="14" format="5" series="1">
      <pivotArea type="data" outline="0" fieldPosition="0">
        <references count="2">
          <reference field="4294967294" count="1" selected="0">
            <x v="0"/>
          </reference>
          <reference field="7" count="1" selected="0">
            <x v="5"/>
          </reference>
        </references>
      </pivotArea>
    </chartFormat>
    <chartFormat chart="14" format="6" series="1">
      <pivotArea type="data" outline="0" fieldPosition="0">
        <references count="2">
          <reference field="4294967294" count="1" selected="0">
            <x v="0"/>
          </reference>
          <reference field="7" count="1" selected="0">
            <x v="6"/>
          </reference>
        </references>
      </pivotArea>
    </chartFormat>
    <chartFormat chart="17" format="14" series="1">
      <pivotArea type="data" outline="0" fieldPosition="0">
        <references count="2">
          <reference field="4294967294" count="1" selected="0">
            <x v="0"/>
          </reference>
          <reference field="7" count="1" selected="0">
            <x v="0"/>
          </reference>
        </references>
      </pivotArea>
    </chartFormat>
    <chartFormat chart="17" format="15" series="1">
      <pivotArea type="data" outline="0" fieldPosition="0">
        <references count="2">
          <reference field="4294967294" count="1" selected="0">
            <x v="0"/>
          </reference>
          <reference field="7" count="1" selected="0">
            <x v="1"/>
          </reference>
        </references>
      </pivotArea>
    </chartFormat>
    <chartFormat chart="17" format="16" series="1">
      <pivotArea type="data" outline="0" fieldPosition="0">
        <references count="2">
          <reference field="4294967294" count="1" selected="0">
            <x v="0"/>
          </reference>
          <reference field="7" count="1" selected="0">
            <x v="2"/>
          </reference>
        </references>
      </pivotArea>
    </chartFormat>
    <chartFormat chart="17" format="17" series="1">
      <pivotArea type="data" outline="0" fieldPosition="0">
        <references count="2">
          <reference field="4294967294" count="1" selected="0">
            <x v="0"/>
          </reference>
          <reference field="7" count="1" selected="0">
            <x v="3"/>
          </reference>
        </references>
      </pivotArea>
    </chartFormat>
    <chartFormat chart="17" format="18" series="1">
      <pivotArea type="data" outline="0" fieldPosition="0">
        <references count="2">
          <reference field="4294967294" count="1" selected="0">
            <x v="0"/>
          </reference>
          <reference field="7" count="1" selected="0">
            <x v="4"/>
          </reference>
        </references>
      </pivotArea>
    </chartFormat>
    <chartFormat chart="17" format="19" series="1">
      <pivotArea type="data" outline="0" fieldPosition="0">
        <references count="2">
          <reference field="4294967294" count="1" selected="0">
            <x v="0"/>
          </reference>
          <reference field="7" count="1" selected="0">
            <x v="5"/>
          </reference>
        </references>
      </pivotArea>
    </chartFormat>
    <chartFormat chart="17" format="20" series="1">
      <pivotArea type="data" outline="0" fieldPosition="0">
        <references count="2">
          <reference field="4294967294" count="1" selected="0">
            <x v="0"/>
          </reference>
          <reference field="7"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op_Type" xr10:uid="{2209F928-3123-4FBF-9FF5-B80024F1F630}" sourceName="Crop Type">
  <pivotTables>
    <pivotTable tabId="3" name="PivotTable15"/>
    <pivotTable tabId="3" name="PivotTable12"/>
  </pivotTables>
  <data>
    <tabular pivotCacheId="80421828">
      <items count="7">
        <i x="0" s="1"/>
        <i x="1" s="1"/>
        <i x="2" s="1"/>
        <i x="3" s="1"/>
        <i x="4" s="1"/>
        <i x="5"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6CB87FA-1913-4211-A007-B082F6BA844F}" sourceName="Year">
  <pivotTables>
    <pivotTable tabId="3" name="PivotTable15"/>
    <pivotTable tabId="3" name="PivotTable12"/>
  </pivotTables>
  <data>
    <tabular pivotCacheId="80421828">
      <items count="13">
        <i x="0" s="1"/>
        <i x="1" s="1"/>
        <i x="2" s="1"/>
        <i x="3" s="1"/>
        <i x="4" s="1"/>
        <i x="5" s="1"/>
        <i x="6" s="1"/>
        <i x="7" s="1"/>
        <i x="8" s="1"/>
        <i x="9" s="1"/>
        <i x="10" s="1"/>
        <i x="11" s="1"/>
        <i x="1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alue" xr10:uid="{FF4598C6-C7CB-4A37-B90F-3267DBE27A9D}" sourceName="Value">
  <pivotTables>
    <pivotTable tabId="3" name="PivotTable15"/>
    <pivotTable tabId="3" name="PivotTable12"/>
  </pivotTables>
  <data>
    <tabular pivotCacheId="80421828">
      <items count="273">
        <i x="121" s="1"/>
        <i x="127" s="1"/>
        <i x="139" s="1"/>
        <i x="136" s="1"/>
        <i x="49" s="1"/>
        <i x="124" s="1"/>
        <i x="154" s="1"/>
        <i x="205" s="1"/>
        <i x="133" s="1"/>
        <i x="148" s="1"/>
        <i x="142" s="1"/>
        <i x="151" s="1"/>
        <i x="145" s="1"/>
        <i x="229" s="1"/>
        <i x="226" s="1"/>
        <i x="73" s="1"/>
        <i x="202" s="1"/>
        <i x="70" s="1"/>
        <i x="130" s="1"/>
        <i x="118" s="1"/>
        <i x="211" s="1"/>
        <i x="217" s="1"/>
        <i x="232" s="1"/>
        <i x="208" s="1"/>
        <i x="220" s="1"/>
        <i x="67" s="1"/>
        <i x="52" s="1"/>
        <i x="199" s="1"/>
        <i x="64" s="1"/>
        <i x="223" s="1"/>
        <i x="55" s="1"/>
        <i x="46" s="1"/>
        <i x="61" s="1"/>
        <i x="43" s="1"/>
        <i x="76" s="1"/>
        <i x="58" s="1"/>
        <i x="40" s="1"/>
        <i x="214" s="1"/>
        <i x="196" s="1"/>
        <i x="88" s="1"/>
        <i x="85" s="1"/>
        <i x="82" s="1"/>
        <i x="100" s="1"/>
        <i x="103" s="1"/>
        <i x="91" s="1"/>
        <i x="94" s="1"/>
        <i x="97" s="1"/>
        <i x="157" s="1"/>
        <i x="79" s="1"/>
        <i x="193" s="1"/>
        <i x="106" s="1"/>
        <i x="163" s="1"/>
        <i x="190" s="1"/>
        <i x="187" s="1"/>
        <i x="166" s="1"/>
        <i x="175" s="1"/>
        <i x="160" s="1"/>
        <i x="184" s="1"/>
        <i x="109" s="1"/>
        <i x="112" s="1"/>
        <i x="181" s="1"/>
        <i x="172" s="1"/>
        <i x="178" s="1"/>
        <i x="169" s="1"/>
        <i x="115" s="1"/>
        <i x="31" s="1"/>
        <i x="28" s="1"/>
        <i x="34" s="1"/>
        <i x="37" s="1"/>
        <i x="244" s="1"/>
        <i x="10" s="1"/>
        <i x="241" s="1"/>
        <i x="16" s="1"/>
        <i x="238" s="1"/>
        <i x="13" s="1"/>
        <i x="262" s="1"/>
        <i x="265" s="1"/>
        <i x="7" s="1"/>
        <i x="268" s="1"/>
        <i x="271" s="1"/>
        <i x="250" s="1"/>
        <i x="247" s="1"/>
        <i x="22" s="1"/>
        <i x="19" s="1"/>
        <i x="253" s="1"/>
        <i x="256" s="1"/>
        <i x="25" s="1"/>
        <i x="259" s="1"/>
        <i x="4" s="1"/>
        <i x="1" s="1"/>
        <i x="235" s="1"/>
        <i x="128" s="1"/>
        <i x="122" s="1"/>
        <i x="125" s="1"/>
        <i x="123" s="1"/>
        <i x="126" s="1"/>
        <i x="137" s="1"/>
        <i x="140" s="1"/>
        <i x="129" s="1"/>
        <i x="141" s="1"/>
        <i x="135" s="1"/>
        <i x="132" s="1"/>
        <i x="144" s="1"/>
        <i x="147" s="1"/>
        <i x="150" s="1"/>
        <i x="138" s="1"/>
        <i x="134" s="1"/>
        <i x="131" s="1"/>
        <i x="143" s="1"/>
        <i x="149" s="1"/>
        <i x="146" s="1"/>
        <i x="152" s="1"/>
        <i x="155" s="1"/>
        <i x="153" s="1"/>
        <i x="159" s="1"/>
        <i x="42" s="1"/>
        <i x="156" s="1"/>
        <i x="50" s="1"/>
        <i x="45" s="1"/>
        <i x="48" s="1"/>
        <i x="39" s="1"/>
        <i x="51" s="1"/>
        <i x="54" s="1"/>
        <i x="120" s="1"/>
        <i x="162" s="1"/>
        <i x="234" s="1"/>
        <i x="165" s="1"/>
        <i x="44" s="1"/>
        <i x="168" s="1"/>
        <i x="47" s="1"/>
        <i x="53" s="1"/>
        <i x="75" s="1"/>
        <i x="57" s="1"/>
        <i x="56" s="1"/>
        <i x="0" s="1"/>
        <i x="60" s="1"/>
        <i x="66" s="1"/>
        <i x="69" s="1"/>
        <i x="171" s="1"/>
        <i x="72" s="1"/>
        <i x="63" s="1"/>
        <i x="177" s="1"/>
        <i x="41" s="1"/>
        <i x="174" s="1"/>
        <i x="180" s="1"/>
        <i x="3" s="1"/>
        <i x="183" s="1"/>
        <i x="78" s="1"/>
        <i x="186" s="1"/>
        <i x="74" s="1"/>
        <i x="71" s="1"/>
        <i x="77" s="1"/>
        <i x="189" s="1"/>
        <i x="68" s="1"/>
        <i x="59" s="1"/>
        <i x="117" s="1"/>
        <i x="158" s="1"/>
        <i x="237" s="1"/>
        <i x="240" s="1"/>
        <i x="62" s="1"/>
        <i x="192" s="1"/>
        <i x="65" s="1"/>
        <i x="161" s="1"/>
        <i x="198" s="1"/>
        <i x="195" s="1"/>
        <i x="243" s="1"/>
        <i x="201" s="1"/>
        <i x="119" s="1"/>
        <i x="255" s="1"/>
        <i x="206" s="1"/>
        <i x="246" s="1"/>
        <i x="252" s="1"/>
        <i x="249" s="1"/>
        <i x="222" s="1"/>
        <i x="258" s="1"/>
        <i x="164" s="1"/>
        <i x="204" s="1"/>
        <i x="81" s="1"/>
        <i x="213" s="1"/>
        <i x="93" s="1"/>
        <i x="219" s="1"/>
        <i x="200" s="1"/>
        <i x="231" s="1"/>
        <i x="207" s="1"/>
        <i x="84" s="1"/>
        <i x="87" s="1"/>
        <i x="225" s="1"/>
        <i x="114" s="1"/>
        <i x="167" s="1"/>
        <i x="216" s="1"/>
        <i x="203" s="1"/>
        <i x="210" s="1"/>
        <i x="96" s="1"/>
        <i x="228" s="1"/>
        <i x="108" s="1"/>
        <i x="111" s="1"/>
        <i x="90" s="1"/>
        <i x="99" s="1"/>
        <i x="6" s="1"/>
        <i x="102" s="1"/>
        <i x="227" s="1"/>
        <i x="224" s="1"/>
        <i x="18" s="1"/>
        <i x="170" s="1"/>
        <i x="230" s="1"/>
        <i x="9" s="1"/>
        <i x="21" s="1"/>
        <i x="261" s="1"/>
        <i x="105" s="1"/>
        <i x="221" s="1"/>
        <i x="233" s="1"/>
        <i x="209" s="1"/>
        <i x="218" s="1"/>
        <i x="24" s="1"/>
        <i x="212" s="1"/>
        <i x="12" s="1"/>
        <i x="264" s="1"/>
        <i x="197" s="1"/>
        <i x="270" s="1"/>
        <i x="267" s="1"/>
        <i x="215" s="1"/>
        <i x="173" s="1"/>
        <i x="80" s="1"/>
        <i x="176" s="1"/>
        <i x="179" s="1"/>
        <i x="15" s="1"/>
        <i x="188" s="1"/>
        <i x="191" s="1"/>
        <i x="182" s="1"/>
        <i x="89" s="1"/>
        <i x="185" s="1"/>
        <i x="194" s="1"/>
        <i x="86" s="1"/>
        <i x="83" s="1"/>
        <i x="95" s="1"/>
        <i x="30" s="1"/>
        <i x="27" s="1"/>
        <i x="33" s="1"/>
        <i x="36" s="1"/>
        <i x="98" s="1"/>
        <i x="101" s="1"/>
        <i x="92" s="1"/>
        <i x="104" s="1"/>
        <i x="110" s="1"/>
        <i x="107" s="1"/>
        <i x="113" s="1"/>
        <i x="116" s="1"/>
        <i x="242" s="1"/>
        <i x="239" s="1"/>
        <i x="245" s="1"/>
        <i x="236" s="1"/>
        <i x="2" s="1"/>
        <i x="248" s="1"/>
        <i x="251" s="1"/>
        <i x="5" s="1"/>
        <i x="11" s="1"/>
        <i x="254" s="1"/>
        <i x="257" s="1"/>
        <i x="8" s="1"/>
        <i x="263" s="1"/>
        <i x="14" s="1"/>
        <i x="260" s="1"/>
        <i x="32" s="1"/>
        <i x="266" s="1"/>
        <i x="29" s="1"/>
        <i x="17" s="1"/>
        <i x="35" s="1"/>
        <i x="269" s="1"/>
        <i x="20" s="1"/>
        <i x="272" s="1"/>
        <i x="23" s="1"/>
        <i x="38" s="1"/>
        <i x="2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rop Type 1" xr10:uid="{7A9D3856-E405-4B8D-B6E4-740B511DD45B}" cache="Slicer_Crop_Type" caption="Crop Type" rowHeight="251883"/>
  <slicer name="Year" xr10:uid="{71771577-215D-497F-84FF-20DDB3D65222}" cache="Slicer_Year" caption="Year" rowHeight="251883"/>
  <slicer name="Value" xr10:uid="{034D70D2-DD5A-43DD-AAEC-941C8172E677}" cache="Slicer_Value" caption="Value"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90C5486-EFAA-45B0-924C-7C3D604524D1}" name="Yield" displayName="Yield" ref="A1:N274" totalsRowShown="0" headerRowDxfId="1">
  <autoFilter ref="A1:N274" xr:uid="{790C5486-EFAA-45B0-924C-7C3D604524D1}">
    <filterColumn colId="5">
      <filters>
        <filter val="Yield"/>
      </filters>
    </filterColumn>
  </autoFilter>
  <tableColumns count="14">
    <tableColumn id="1" xr3:uid="{283B9F57-EF91-4AB3-88A8-A708D12CDB13}" name="Domain Code"/>
    <tableColumn id="2" xr3:uid="{38131368-188E-4063-95A1-21267ED11114}" name="Domain"/>
    <tableColumn id="3" xr3:uid="{23D60108-B429-458E-80A2-09C0AA2FDD39}" name="Area Code (M49)"/>
    <tableColumn id="4" xr3:uid="{8AAD9643-6324-479D-8D27-8DDB8D6CE7BD}" name="Country"/>
    <tableColumn id="5" xr3:uid="{176BB123-74BB-4BB7-8ECA-1EB4A0C2040B}" name="Element Code"/>
    <tableColumn id="6" xr3:uid="{B4A28B85-1F61-4CB7-9C4A-37365EBB88FC}" name="Element"/>
    <tableColumn id="7" xr3:uid="{01A92108-5FD9-4B24-83D6-8D184C01F20D}" name="Crop Code (CPC)"/>
    <tableColumn id="8" xr3:uid="{79C16E5F-4E47-4BAE-B340-3BA6DBFA1DE0}" name="Crop Type"/>
    <tableColumn id="9" xr3:uid="{0A06A5FE-5EDD-4A27-BFB5-ABCB247F94D6}" name="Year Code"/>
    <tableColumn id="10" xr3:uid="{3A63BBF7-368E-4606-A9A7-C03E7ACF4A82}" name="Year"/>
    <tableColumn id="11" xr3:uid="{EC366802-E3E1-49D5-BB5C-066A38C4DD49}" name="Unit"/>
    <tableColumn id="12" xr3:uid="{1B6F562D-B81D-448B-82EC-E377B723741D}" name="Value" dataDxfId="0"/>
    <tableColumn id="13" xr3:uid="{2C8701B0-C87F-4372-8F96-F44292546650}" name="Flag"/>
    <tableColumn id="14" xr3:uid="{A621EA21-9248-40A8-9501-D2649005CF48}" name="Flag Descrip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498DD-01B3-4CEF-BA6E-00D8AC2B2BDE}">
  <sheetPr>
    <tabColor rgb="FF7030A0"/>
  </sheetPr>
  <dimension ref="A1:N274"/>
  <sheetViews>
    <sheetView tabSelected="1" topLeftCell="C6" workbookViewId="0">
      <selection activeCell="P18" sqref="P18"/>
    </sheetView>
  </sheetViews>
  <sheetFormatPr defaultRowHeight="14.5" x14ac:dyDescent="0.35"/>
  <cols>
    <col min="1" max="1" width="14.08984375" customWidth="1"/>
    <col min="2" max="2" width="24.36328125" bestFit="1" customWidth="1"/>
    <col min="3" max="3" width="16.36328125" customWidth="1"/>
    <col min="4" max="4" width="9.453125" customWidth="1"/>
    <col min="5" max="5" width="14.453125" customWidth="1"/>
    <col min="6" max="6" width="13" bestFit="1" customWidth="1"/>
    <col min="7" max="7" width="16.6328125" customWidth="1"/>
    <col min="8" max="8" width="25.36328125" bestFit="1" customWidth="1"/>
    <col min="9" max="9" width="11.26953125" hidden="1" customWidth="1"/>
    <col min="10" max="10" width="6.54296875" customWidth="1"/>
    <col min="11" max="11" width="6.36328125" customWidth="1"/>
    <col min="12" max="12" width="11.81640625" bestFit="1" customWidth="1"/>
    <col min="13" max="13" width="6.26953125" customWidth="1"/>
    <col min="14" max="14" width="32.08984375" customWidth="1"/>
  </cols>
  <sheetData>
    <row r="1" spans="1:14" s="1" customFormat="1" x14ac:dyDescent="0.35">
      <c r="A1" s="1" t="s">
        <v>0</v>
      </c>
      <c r="B1" s="1" t="s">
        <v>1</v>
      </c>
      <c r="C1" s="1" t="s">
        <v>2</v>
      </c>
      <c r="D1" s="1" t="s">
        <v>35</v>
      </c>
      <c r="E1" s="1" t="s">
        <v>3</v>
      </c>
      <c r="F1" s="1" t="s">
        <v>4</v>
      </c>
      <c r="G1" s="1" t="s">
        <v>39</v>
      </c>
      <c r="H1" s="1" t="s">
        <v>38</v>
      </c>
      <c r="I1" s="1" t="s">
        <v>5</v>
      </c>
      <c r="J1" s="1" t="s">
        <v>6</v>
      </c>
      <c r="K1" s="1" t="s">
        <v>7</v>
      </c>
      <c r="L1" s="1" t="s">
        <v>8</v>
      </c>
      <c r="M1" s="1" t="s">
        <v>9</v>
      </c>
      <c r="N1" s="1" t="s">
        <v>10</v>
      </c>
    </row>
    <row r="2" spans="1:14" hidden="1" x14ac:dyDescent="0.35">
      <c r="A2" t="s">
        <v>11</v>
      </c>
      <c r="B2" t="s">
        <v>12</v>
      </c>
      <c r="C2">
        <v>566</v>
      </c>
      <c r="D2" t="s">
        <v>13</v>
      </c>
      <c r="E2">
        <v>5312</v>
      </c>
      <c r="F2" t="s">
        <v>14</v>
      </c>
      <c r="G2">
        <v>1520.01</v>
      </c>
      <c r="H2" t="s">
        <v>15</v>
      </c>
      <c r="I2">
        <v>2010</v>
      </c>
      <c r="J2">
        <v>2010</v>
      </c>
      <c r="K2" t="s">
        <v>16</v>
      </c>
      <c r="L2" s="4">
        <v>3481900</v>
      </c>
      <c r="M2" t="s">
        <v>17</v>
      </c>
      <c r="N2" t="s">
        <v>18</v>
      </c>
    </row>
    <row r="3" spans="1:14" x14ac:dyDescent="0.35">
      <c r="A3" t="s">
        <v>11</v>
      </c>
      <c r="B3" t="s">
        <v>12</v>
      </c>
      <c r="C3">
        <v>566</v>
      </c>
      <c r="D3" t="s">
        <v>13</v>
      </c>
      <c r="E3">
        <v>5412</v>
      </c>
      <c r="F3" t="s">
        <v>19</v>
      </c>
      <c r="G3">
        <v>1520.01</v>
      </c>
      <c r="H3" t="s">
        <v>15</v>
      </c>
      <c r="I3">
        <v>2010</v>
      </c>
      <c r="J3">
        <v>2010</v>
      </c>
      <c r="K3" t="s">
        <v>20</v>
      </c>
      <c r="L3" s="4">
        <v>12215.5</v>
      </c>
      <c r="M3" t="s">
        <v>17</v>
      </c>
      <c r="N3" t="s">
        <v>18</v>
      </c>
    </row>
    <row r="4" spans="1:14" hidden="1" x14ac:dyDescent="0.35">
      <c r="A4" t="s">
        <v>11</v>
      </c>
      <c r="B4" t="s">
        <v>12</v>
      </c>
      <c r="C4">
        <v>566</v>
      </c>
      <c r="D4" t="s">
        <v>13</v>
      </c>
      <c r="E4">
        <v>5510</v>
      </c>
      <c r="F4" t="s">
        <v>21</v>
      </c>
      <c r="G4">
        <v>1520.01</v>
      </c>
      <c r="H4" t="s">
        <v>15</v>
      </c>
      <c r="I4">
        <v>2010</v>
      </c>
      <c r="J4">
        <v>2010</v>
      </c>
      <c r="K4" t="s">
        <v>22</v>
      </c>
      <c r="L4" s="4">
        <v>42533180</v>
      </c>
      <c r="M4" t="s">
        <v>17</v>
      </c>
      <c r="N4" t="s">
        <v>18</v>
      </c>
    </row>
    <row r="5" spans="1:14" hidden="1" x14ac:dyDescent="0.35">
      <c r="A5" t="s">
        <v>11</v>
      </c>
      <c r="B5" t="s">
        <v>12</v>
      </c>
      <c r="C5">
        <v>566</v>
      </c>
      <c r="D5" t="s">
        <v>13</v>
      </c>
      <c r="E5">
        <v>5312</v>
      </c>
      <c r="F5" t="s">
        <v>14</v>
      </c>
      <c r="G5">
        <v>1520.01</v>
      </c>
      <c r="H5" t="s">
        <v>15</v>
      </c>
      <c r="I5">
        <v>2011</v>
      </c>
      <c r="J5">
        <v>2011</v>
      </c>
      <c r="K5" t="s">
        <v>16</v>
      </c>
      <c r="L5" s="4">
        <v>4120166</v>
      </c>
      <c r="M5" t="s">
        <v>17</v>
      </c>
      <c r="N5" t="s">
        <v>18</v>
      </c>
    </row>
    <row r="6" spans="1:14" x14ac:dyDescent="0.35">
      <c r="A6" t="s">
        <v>11</v>
      </c>
      <c r="B6" t="s">
        <v>12</v>
      </c>
      <c r="C6">
        <v>566</v>
      </c>
      <c r="D6" t="s">
        <v>13</v>
      </c>
      <c r="E6">
        <v>5412</v>
      </c>
      <c r="F6" t="s">
        <v>19</v>
      </c>
      <c r="G6">
        <v>1520.01</v>
      </c>
      <c r="H6" t="s">
        <v>15</v>
      </c>
      <c r="I6">
        <v>2011</v>
      </c>
      <c r="J6">
        <v>2011</v>
      </c>
      <c r="K6" t="s">
        <v>20</v>
      </c>
      <c r="L6" s="4">
        <v>11210.8</v>
      </c>
      <c r="M6" t="s">
        <v>17</v>
      </c>
      <c r="N6" t="s">
        <v>18</v>
      </c>
    </row>
    <row r="7" spans="1:14" hidden="1" x14ac:dyDescent="0.35">
      <c r="A7" t="s">
        <v>11</v>
      </c>
      <c r="B7" t="s">
        <v>12</v>
      </c>
      <c r="C7">
        <v>566</v>
      </c>
      <c r="D7" t="s">
        <v>13</v>
      </c>
      <c r="E7">
        <v>5510</v>
      </c>
      <c r="F7" t="s">
        <v>21</v>
      </c>
      <c r="G7">
        <v>1520.01</v>
      </c>
      <c r="H7" t="s">
        <v>15</v>
      </c>
      <c r="I7">
        <v>2011</v>
      </c>
      <c r="J7">
        <v>2011</v>
      </c>
      <c r="K7" t="s">
        <v>22</v>
      </c>
      <c r="L7" s="4">
        <v>46190248</v>
      </c>
      <c r="M7" t="s">
        <v>17</v>
      </c>
      <c r="N7" t="s">
        <v>18</v>
      </c>
    </row>
    <row r="8" spans="1:14" hidden="1" x14ac:dyDescent="0.35">
      <c r="A8" t="s">
        <v>11</v>
      </c>
      <c r="B8" t="s">
        <v>12</v>
      </c>
      <c r="C8">
        <v>566</v>
      </c>
      <c r="D8" t="s">
        <v>13</v>
      </c>
      <c r="E8">
        <v>5312</v>
      </c>
      <c r="F8" t="s">
        <v>14</v>
      </c>
      <c r="G8">
        <v>1520.01</v>
      </c>
      <c r="H8" t="s">
        <v>15</v>
      </c>
      <c r="I8">
        <v>2012</v>
      </c>
      <c r="J8">
        <v>2012</v>
      </c>
      <c r="K8" t="s">
        <v>16</v>
      </c>
      <c r="L8" s="4">
        <v>6401996</v>
      </c>
      <c r="M8" t="s">
        <v>17</v>
      </c>
      <c r="N8" t="s">
        <v>18</v>
      </c>
    </row>
    <row r="9" spans="1:14" x14ac:dyDescent="0.35">
      <c r="A9" t="s">
        <v>11</v>
      </c>
      <c r="B9" t="s">
        <v>12</v>
      </c>
      <c r="C9">
        <v>566</v>
      </c>
      <c r="D9" t="s">
        <v>13</v>
      </c>
      <c r="E9">
        <v>5412</v>
      </c>
      <c r="F9" t="s">
        <v>19</v>
      </c>
      <c r="G9">
        <v>1520.01</v>
      </c>
      <c r="H9" t="s">
        <v>15</v>
      </c>
      <c r="I9">
        <v>2012</v>
      </c>
      <c r="J9">
        <v>2012</v>
      </c>
      <c r="K9" t="s">
        <v>20</v>
      </c>
      <c r="L9" s="4">
        <v>7958.5</v>
      </c>
      <c r="M9" t="s">
        <v>17</v>
      </c>
      <c r="N9" t="s">
        <v>18</v>
      </c>
    </row>
    <row r="10" spans="1:14" hidden="1" x14ac:dyDescent="0.35">
      <c r="A10" t="s">
        <v>11</v>
      </c>
      <c r="B10" t="s">
        <v>12</v>
      </c>
      <c r="C10">
        <v>566</v>
      </c>
      <c r="D10" t="s">
        <v>13</v>
      </c>
      <c r="E10">
        <v>5510</v>
      </c>
      <c r="F10" t="s">
        <v>21</v>
      </c>
      <c r="G10">
        <v>1520.01</v>
      </c>
      <c r="H10" t="s">
        <v>15</v>
      </c>
      <c r="I10">
        <v>2012</v>
      </c>
      <c r="J10">
        <v>2012</v>
      </c>
      <c r="K10" t="s">
        <v>22</v>
      </c>
      <c r="L10" s="4">
        <v>50950292</v>
      </c>
      <c r="M10" t="s">
        <v>17</v>
      </c>
      <c r="N10" t="s">
        <v>18</v>
      </c>
    </row>
    <row r="11" spans="1:14" hidden="1" x14ac:dyDescent="0.35">
      <c r="A11" t="s">
        <v>11</v>
      </c>
      <c r="B11" t="s">
        <v>12</v>
      </c>
      <c r="C11">
        <v>566</v>
      </c>
      <c r="D11" t="s">
        <v>13</v>
      </c>
      <c r="E11">
        <v>5312</v>
      </c>
      <c r="F11" t="s">
        <v>14</v>
      </c>
      <c r="G11">
        <v>1520.01</v>
      </c>
      <c r="H11" t="s">
        <v>15</v>
      </c>
      <c r="I11">
        <v>2013</v>
      </c>
      <c r="J11">
        <v>2013</v>
      </c>
      <c r="K11" t="s">
        <v>16</v>
      </c>
      <c r="L11" s="4">
        <v>6741300</v>
      </c>
      <c r="M11" t="s">
        <v>17</v>
      </c>
      <c r="N11" t="s">
        <v>18</v>
      </c>
    </row>
    <row r="12" spans="1:14" x14ac:dyDescent="0.35">
      <c r="A12" t="s">
        <v>11</v>
      </c>
      <c r="B12" t="s">
        <v>12</v>
      </c>
      <c r="C12">
        <v>566</v>
      </c>
      <c r="D12" t="s">
        <v>13</v>
      </c>
      <c r="E12">
        <v>5412</v>
      </c>
      <c r="F12" t="s">
        <v>19</v>
      </c>
      <c r="G12">
        <v>1520.01</v>
      </c>
      <c r="H12" t="s">
        <v>15</v>
      </c>
      <c r="I12">
        <v>2013</v>
      </c>
      <c r="J12">
        <v>2013</v>
      </c>
      <c r="K12" t="s">
        <v>20</v>
      </c>
      <c r="L12" s="4">
        <v>7032.3</v>
      </c>
      <c r="M12" t="s">
        <v>17</v>
      </c>
      <c r="N12" t="s">
        <v>18</v>
      </c>
    </row>
    <row r="13" spans="1:14" hidden="1" x14ac:dyDescent="0.35">
      <c r="A13" t="s">
        <v>11</v>
      </c>
      <c r="B13" t="s">
        <v>12</v>
      </c>
      <c r="C13">
        <v>566</v>
      </c>
      <c r="D13" t="s">
        <v>13</v>
      </c>
      <c r="E13">
        <v>5510</v>
      </c>
      <c r="F13" t="s">
        <v>21</v>
      </c>
      <c r="G13">
        <v>1520.01</v>
      </c>
      <c r="H13" t="s">
        <v>15</v>
      </c>
      <c r="I13">
        <v>2013</v>
      </c>
      <c r="J13">
        <v>2013</v>
      </c>
      <c r="K13" t="s">
        <v>22</v>
      </c>
      <c r="L13" s="4">
        <v>47406770</v>
      </c>
      <c r="M13" t="s">
        <v>17</v>
      </c>
      <c r="N13" t="s">
        <v>18</v>
      </c>
    </row>
    <row r="14" spans="1:14" hidden="1" x14ac:dyDescent="0.35">
      <c r="A14" t="s">
        <v>11</v>
      </c>
      <c r="B14" t="s">
        <v>12</v>
      </c>
      <c r="C14">
        <v>566</v>
      </c>
      <c r="D14" t="s">
        <v>13</v>
      </c>
      <c r="E14">
        <v>5312</v>
      </c>
      <c r="F14" t="s">
        <v>14</v>
      </c>
      <c r="G14">
        <v>1520.01</v>
      </c>
      <c r="H14" t="s">
        <v>15</v>
      </c>
      <c r="I14">
        <v>2014</v>
      </c>
      <c r="J14">
        <v>2014</v>
      </c>
      <c r="K14" t="s">
        <v>16</v>
      </c>
      <c r="L14" s="4">
        <v>7096300</v>
      </c>
      <c r="M14" t="s">
        <v>17</v>
      </c>
      <c r="N14" t="s">
        <v>18</v>
      </c>
    </row>
    <row r="15" spans="1:14" x14ac:dyDescent="0.35">
      <c r="A15" t="s">
        <v>11</v>
      </c>
      <c r="B15" t="s">
        <v>12</v>
      </c>
      <c r="C15">
        <v>566</v>
      </c>
      <c r="D15" t="s">
        <v>13</v>
      </c>
      <c r="E15">
        <v>5412</v>
      </c>
      <c r="F15" t="s">
        <v>19</v>
      </c>
      <c r="G15">
        <v>1520.01</v>
      </c>
      <c r="H15" t="s">
        <v>15</v>
      </c>
      <c r="I15">
        <v>2014</v>
      </c>
      <c r="J15">
        <v>2014</v>
      </c>
      <c r="K15" t="s">
        <v>20</v>
      </c>
      <c r="L15" s="4">
        <v>7655.4</v>
      </c>
      <c r="M15" t="s">
        <v>17</v>
      </c>
      <c r="N15" t="s">
        <v>18</v>
      </c>
    </row>
    <row r="16" spans="1:14" hidden="1" x14ac:dyDescent="0.35">
      <c r="A16" t="s">
        <v>11</v>
      </c>
      <c r="B16" t="s">
        <v>12</v>
      </c>
      <c r="C16">
        <v>566</v>
      </c>
      <c r="D16" t="s">
        <v>13</v>
      </c>
      <c r="E16">
        <v>5510</v>
      </c>
      <c r="F16" t="s">
        <v>21</v>
      </c>
      <c r="G16">
        <v>1520.01</v>
      </c>
      <c r="H16" t="s">
        <v>15</v>
      </c>
      <c r="I16">
        <v>2014</v>
      </c>
      <c r="J16">
        <v>2014</v>
      </c>
      <c r="K16" t="s">
        <v>22</v>
      </c>
      <c r="L16" s="4">
        <v>54324700</v>
      </c>
      <c r="M16" t="s">
        <v>17</v>
      </c>
      <c r="N16" t="s">
        <v>18</v>
      </c>
    </row>
    <row r="17" spans="1:14" hidden="1" x14ac:dyDescent="0.35">
      <c r="A17" t="s">
        <v>11</v>
      </c>
      <c r="B17" t="s">
        <v>12</v>
      </c>
      <c r="C17">
        <v>566</v>
      </c>
      <c r="D17" t="s">
        <v>13</v>
      </c>
      <c r="E17">
        <v>5312</v>
      </c>
      <c r="F17" t="s">
        <v>14</v>
      </c>
      <c r="G17">
        <v>1520.01</v>
      </c>
      <c r="H17" t="s">
        <v>15</v>
      </c>
      <c r="I17">
        <v>2015</v>
      </c>
      <c r="J17">
        <v>2015</v>
      </c>
      <c r="K17" t="s">
        <v>16</v>
      </c>
      <c r="L17" s="4">
        <v>7900630</v>
      </c>
      <c r="M17" t="s">
        <v>17</v>
      </c>
      <c r="N17" t="s">
        <v>18</v>
      </c>
    </row>
    <row r="18" spans="1:14" x14ac:dyDescent="0.35">
      <c r="A18" t="s">
        <v>11</v>
      </c>
      <c r="B18" t="s">
        <v>12</v>
      </c>
      <c r="C18">
        <v>566</v>
      </c>
      <c r="D18" t="s">
        <v>13</v>
      </c>
      <c r="E18">
        <v>5412</v>
      </c>
      <c r="F18" t="s">
        <v>19</v>
      </c>
      <c r="G18">
        <v>1520.01</v>
      </c>
      <c r="H18" t="s">
        <v>15</v>
      </c>
      <c r="I18">
        <v>2015</v>
      </c>
      <c r="J18">
        <v>2015</v>
      </c>
      <c r="K18" t="s">
        <v>20</v>
      </c>
      <c r="L18" s="4">
        <v>7265.9</v>
      </c>
      <c r="M18" t="s">
        <v>17</v>
      </c>
      <c r="N18" t="s">
        <v>18</v>
      </c>
    </row>
    <row r="19" spans="1:14" hidden="1" x14ac:dyDescent="0.35">
      <c r="A19" t="s">
        <v>11</v>
      </c>
      <c r="B19" t="s">
        <v>12</v>
      </c>
      <c r="C19">
        <v>566</v>
      </c>
      <c r="D19" t="s">
        <v>13</v>
      </c>
      <c r="E19">
        <v>5510</v>
      </c>
      <c r="F19" t="s">
        <v>21</v>
      </c>
      <c r="G19">
        <v>1520.01</v>
      </c>
      <c r="H19" t="s">
        <v>15</v>
      </c>
      <c r="I19">
        <v>2015</v>
      </c>
      <c r="J19">
        <v>2015</v>
      </c>
      <c r="K19" t="s">
        <v>22</v>
      </c>
      <c r="L19" s="4">
        <v>57405060</v>
      </c>
      <c r="M19" t="s">
        <v>17</v>
      </c>
      <c r="N19" t="s">
        <v>18</v>
      </c>
    </row>
    <row r="20" spans="1:14" hidden="1" x14ac:dyDescent="0.35">
      <c r="A20" t="s">
        <v>11</v>
      </c>
      <c r="B20" t="s">
        <v>12</v>
      </c>
      <c r="C20">
        <v>566</v>
      </c>
      <c r="D20" t="s">
        <v>13</v>
      </c>
      <c r="E20">
        <v>5312</v>
      </c>
      <c r="F20" t="s">
        <v>14</v>
      </c>
      <c r="G20">
        <v>1520.01</v>
      </c>
      <c r="H20" t="s">
        <v>15</v>
      </c>
      <c r="I20">
        <v>2016</v>
      </c>
      <c r="J20">
        <v>2016</v>
      </c>
      <c r="K20" t="s">
        <v>16</v>
      </c>
      <c r="L20" s="4">
        <v>6668996</v>
      </c>
      <c r="M20" t="s">
        <v>17</v>
      </c>
      <c r="N20" t="s">
        <v>18</v>
      </c>
    </row>
    <row r="21" spans="1:14" x14ac:dyDescent="0.35">
      <c r="A21" t="s">
        <v>11</v>
      </c>
      <c r="B21" t="s">
        <v>12</v>
      </c>
      <c r="C21">
        <v>566</v>
      </c>
      <c r="D21" t="s">
        <v>13</v>
      </c>
      <c r="E21">
        <v>5412</v>
      </c>
      <c r="F21" t="s">
        <v>19</v>
      </c>
      <c r="G21">
        <v>1520.01</v>
      </c>
      <c r="H21" t="s">
        <v>15</v>
      </c>
      <c r="I21">
        <v>2016</v>
      </c>
      <c r="J21">
        <v>2016</v>
      </c>
      <c r="K21" t="s">
        <v>20</v>
      </c>
      <c r="L21" s="4">
        <v>9076.2999999999993</v>
      </c>
      <c r="M21" t="s">
        <v>17</v>
      </c>
      <c r="N21" t="s">
        <v>18</v>
      </c>
    </row>
    <row r="22" spans="1:14" hidden="1" x14ac:dyDescent="0.35">
      <c r="A22" t="s">
        <v>11</v>
      </c>
      <c r="B22" t="s">
        <v>12</v>
      </c>
      <c r="C22">
        <v>566</v>
      </c>
      <c r="D22" t="s">
        <v>13</v>
      </c>
      <c r="E22">
        <v>5510</v>
      </c>
      <c r="F22" t="s">
        <v>21</v>
      </c>
      <c r="G22">
        <v>1520.01</v>
      </c>
      <c r="H22" t="s">
        <v>15</v>
      </c>
      <c r="I22">
        <v>2016</v>
      </c>
      <c r="J22">
        <v>2016</v>
      </c>
      <c r="K22" t="s">
        <v>22</v>
      </c>
      <c r="L22" s="4">
        <v>60529864</v>
      </c>
      <c r="M22" t="s">
        <v>17</v>
      </c>
      <c r="N22" t="s">
        <v>18</v>
      </c>
    </row>
    <row r="23" spans="1:14" hidden="1" x14ac:dyDescent="0.35">
      <c r="A23" t="s">
        <v>11</v>
      </c>
      <c r="B23" t="s">
        <v>12</v>
      </c>
      <c r="C23">
        <v>566</v>
      </c>
      <c r="D23" t="s">
        <v>13</v>
      </c>
      <c r="E23">
        <v>5312</v>
      </c>
      <c r="F23" t="s">
        <v>14</v>
      </c>
      <c r="G23">
        <v>1520.01</v>
      </c>
      <c r="H23" t="s">
        <v>15</v>
      </c>
      <c r="I23">
        <v>2017</v>
      </c>
      <c r="J23">
        <v>2017</v>
      </c>
      <c r="K23" t="s">
        <v>16</v>
      </c>
      <c r="L23" s="4">
        <v>6761350</v>
      </c>
      <c r="M23" t="s">
        <v>17</v>
      </c>
      <c r="N23" t="s">
        <v>18</v>
      </c>
    </row>
    <row r="24" spans="1:14" x14ac:dyDescent="0.35">
      <c r="A24" t="s">
        <v>11</v>
      </c>
      <c r="B24" t="s">
        <v>12</v>
      </c>
      <c r="C24">
        <v>566</v>
      </c>
      <c r="D24" t="s">
        <v>13</v>
      </c>
      <c r="E24">
        <v>5412</v>
      </c>
      <c r="F24" t="s">
        <v>19</v>
      </c>
      <c r="G24">
        <v>1520.01</v>
      </c>
      <c r="H24" t="s">
        <v>15</v>
      </c>
      <c r="I24">
        <v>2017</v>
      </c>
      <c r="J24">
        <v>2017</v>
      </c>
      <c r="K24" t="s">
        <v>20</v>
      </c>
      <c r="L24" s="4">
        <v>9073.7000000000007</v>
      </c>
      <c r="M24" t="s">
        <v>17</v>
      </c>
      <c r="N24" t="s">
        <v>18</v>
      </c>
    </row>
    <row r="25" spans="1:14" hidden="1" x14ac:dyDescent="0.35">
      <c r="A25" t="s">
        <v>11</v>
      </c>
      <c r="B25" t="s">
        <v>12</v>
      </c>
      <c r="C25">
        <v>566</v>
      </c>
      <c r="D25" t="s">
        <v>13</v>
      </c>
      <c r="E25">
        <v>5510</v>
      </c>
      <c r="F25" t="s">
        <v>21</v>
      </c>
      <c r="G25">
        <v>1520.01</v>
      </c>
      <c r="H25" t="s">
        <v>15</v>
      </c>
      <c r="I25">
        <v>2017</v>
      </c>
      <c r="J25">
        <v>2017</v>
      </c>
      <c r="K25" t="s">
        <v>22</v>
      </c>
      <c r="L25" s="4">
        <v>61350199</v>
      </c>
      <c r="M25" t="s">
        <v>17</v>
      </c>
      <c r="N25" t="s">
        <v>18</v>
      </c>
    </row>
    <row r="26" spans="1:14" hidden="1" x14ac:dyDescent="0.35">
      <c r="A26" t="s">
        <v>11</v>
      </c>
      <c r="B26" t="s">
        <v>12</v>
      </c>
      <c r="C26">
        <v>566</v>
      </c>
      <c r="D26" t="s">
        <v>13</v>
      </c>
      <c r="E26">
        <v>5312</v>
      </c>
      <c r="F26" t="s">
        <v>14</v>
      </c>
      <c r="G26">
        <v>1520.01</v>
      </c>
      <c r="H26" t="s">
        <v>15</v>
      </c>
      <c r="I26">
        <v>2018</v>
      </c>
      <c r="J26">
        <v>2018</v>
      </c>
      <c r="K26" t="s">
        <v>16</v>
      </c>
      <c r="L26" s="4">
        <v>6949400</v>
      </c>
      <c r="M26" t="s">
        <v>17</v>
      </c>
      <c r="N26" t="s">
        <v>18</v>
      </c>
    </row>
    <row r="27" spans="1:14" x14ac:dyDescent="0.35">
      <c r="A27" t="s">
        <v>11</v>
      </c>
      <c r="B27" t="s">
        <v>12</v>
      </c>
      <c r="C27">
        <v>566</v>
      </c>
      <c r="D27" t="s">
        <v>13</v>
      </c>
      <c r="E27">
        <v>5412</v>
      </c>
      <c r="F27" t="s">
        <v>19</v>
      </c>
      <c r="G27">
        <v>1520.01</v>
      </c>
      <c r="H27" t="s">
        <v>15</v>
      </c>
      <c r="I27">
        <v>2018</v>
      </c>
      <c r="J27">
        <v>2018</v>
      </c>
      <c r="K27" t="s">
        <v>20</v>
      </c>
      <c r="L27" s="4">
        <v>9403.7999999999993</v>
      </c>
      <c r="M27" t="s">
        <v>17</v>
      </c>
      <c r="N27" t="s">
        <v>18</v>
      </c>
    </row>
    <row r="28" spans="1:14" hidden="1" x14ac:dyDescent="0.35">
      <c r="A28" t="s">
        <v>11</v>
      </c>
      <c r="B28" t="s">
        <v>12</v>
      </c>
      <c r="C28">
        <v>566</v>
      </c>
      <c r="D28" t="s">
        <v>13</v>
      </c>
      <c r="E28">
        <v>5510</v>
      </c>
      <c r="F28" t="s">
        <v>21</v>
      </c>
      <c r="G28">
        <v>1520.01</v>
      </c>
      <c r="H28" t="s">
        <v>15</v>
      </c>
      <c r="I28">
        <v>2018</v>
      </c>
      <c r="J28">
        <v>2018</v>
      </c>
      <c r="K28" t="s">
        <v>22</v>
      </c>
      <c r="L28" s="4">
        <v>65350850</v>
      </c>
      <c r="M28" t="s">
        <v>17</v>
      </c>
      <c r="N28" t="s">
        <v>18</v>
      </c>
    </row>
    <row r="29" spans="1:14" hidden="1" x14ac:dyDescent="0.35">
      <c r="A29" t="s">
        <v>11</v>
      </c>
      <c r="B29" t="s">
        <v>12</v>
      </c>
      <c r="C29">
        <v>566</v>
      </c>
      <c r="D29" t="s">
        <v>13</v>
      </c>
      <c r="E29">
        <v>5312</v>
      </c>
      <c r="F29" t="s">
        <v>14</v>
      </c>
      <c r="G29">
        <v>1520.01</v>
      </c>
      <c r="H29" t="s">
        <v>15</v>
      </c>
      <c r="I29">
        <v>2019</v>
      </c>
      <c r="J29">
        <v>2019</v>
      </c>
      <c r="K29" t="s">
        <v>16</v>
      </c>
      <c r="L29" s="4">
        <v>9776650</v>
      </c>
      <c r="M29" t="s">
        <v>17</v>
      </c>
      <c r="N29" t="s">
        <v>18</v>
      </c>
    </row>
    <row r="30" spans="1:14" x14ac:dyDescent="0.35">
      <c r="A30" t="s">
        <v>11</v>
      </c>
      <c r="B30" t="s">
        <v>12</v>
      </c>
      <c r="C30">
        <v>566</v>
      </c>
      <c r="D30" t="s">
        <v>13</v>
      </c>
      <c r="E30">
        <v>5412</v>
      </c>
      <c r="F30" t="s">
        <v>19</v>
      </c>
      <c r="G30">
        <v>1520.01</v>
      </c>
      <c r="H30" t="s">
        <v>15</v>
      </c>
      <c r="I30">
        <v>2019</v>
      </c>
      <c r="J30">
        <v>2019</v>
      </c>
      <c r="K30" t="s">
        <v>20</v>
      </c>
      <c r="L30" s="4">
        <v>5827.1</v>
      </c>
      <c r="M30" t="s">
        <v>17</v>
      </c>
      <c r="N30" t="s">
        <v>18</v>
      </c>
    </row>
    <row r="31" spans="1:14" hidden="1" x14ac:dyDescent="0.35">
      <c r="A31" t="s">
        <v>11</v>
      </c>
      <c r="B31" t="s">
        <v>12</v>
      </c>
      <c r="C31">
        <v>566</v>
      </c>
      <c r="D31" t="s">
        <v>13</v>
      </c>
      <c r="E31">
        <v>5510</v>
      </c>
      <c r="F31" t="s">
        <v>21</v>
      </c>
      <c r="G31">
        <v>1520.01</v>
      </c>
      <c r="H31" t="s">
        <v>15</v>
      </c>
      <c r="I31">
        <v>2019</v>
      </c>
      <c r="J31">
        <v>2019</v>
      </c>
      <c r="K31" t="s">
        <v>22</v>
      </c>
      <c r="L31" s="4">
        <v>56969160</v>
      </c>
      <c r="M31" t="s">
        <v>17</v>
      </c>
      <c r="N31" t="s">
        <v>18</v>
      </c>
    </row>
    <row r="32" spans="1:14" hidden="1" x14ac:dyDescent="0.35">
      <c r="A32" t="s">
        <v>11</v>
      </c>
      <c r="B32" t="s">
        <v>12</v>
      </c>
      <c r="C32">
        <v>566</v>
      </c>
      <c r="D32" t="s">
        <v>13</v>
      </c>
      <c r="E32">
        <v>5312</v>
      </c>
      <c r="F32" t="s">
        <v>14</v>
      </c>
      <c r="G32">
        <v>1520.01</v>
      </c>
      <c r="H32" t="s">
        <v>15</v>
      </c>
      <c r="I32">
        <v>2020</v>
      </c>
      <c r="J32">
        <v>2020</v>
      </c>
      <c r="K32" t="s">
        <v>16</v>
      </c>
      <c r="L32" s="4">
        <v>9614230</v>
      </c>
      <c r="M32" t="s">
        <v>17</v>
      </c>
      <c r="N32" t="s">
        <v>18</v>
      </c>
    </row>
    <row r="33" spans="1:14" x14ac:dyDescent="0.35">
      <c r="A33" t="s">
        <v>11</v>
      </c>
      <c r="B33" t="s">
        <v>12</v>
      </c>
      <c r="C33">
        <v>566</v>
      </c>
      <c r="D33" t="s">
        <v>13</v>
      </c>
      <c r="E33">
        <v>5412</v>
      </c>
      <c r="F33" t="s">
        <v>19</v>
      </c>
      <c r="G33">
        <v>1520.01</v>
      </c>
      <c r="H33" t="s">
        <v>15</v>
      </c>
      <c r="I33">
        <v>2020</v>
      </c>
      <c r="J33">
        <v>2020</v>
      </c>
      <c r="K33" t="s">
        <v>20</v>
      </c>
      <c r="L33" s="4">
        <v>5779.5</v>
      </c>
      <c r="M33" t="s">
        <v>17</v>
      </c>
      <c r="N33" t="s">
        <v>18</v>
      </c>
    </row>
    <row r="34" spans="1:14" hidden="1" x14ac:dyDescent="0.35">
      <c r="A34" t="s">
        <v>11</v>
      </c>
      <c r="B34" t="s">
        <v>12</v>
      </c>
      <c r="C34">
        <v>566</v>
      </c>
      <c r="D34" t="s">
        <v>13</v>
      </c>
      <c r="E34">
        <v>5510</v>
      </c>
      <c r="F34" t="s">
        <v>21</v>
      </c>
      <c r="G34">
        <v>1520.01</v>
      </c>
      <c r="H34" t="s">
        <v>15</v>
      </c>
      <c r="I34">
        <v>2020</v>
      </c>
      <c r="J34">
        <v>2020</v>
      </c>
      <c r="K34" t="s">
        <v>22</v>
      </c>
      <c r="L34" s="4">
        <v>55565610</v>
      </c>
      <c r="M34" t="s">
        <v>17</v>
      </c>
      <c r="N34" t="s">
        <v>18</v>
      </c>
    </row>
    <row r="35" spans="1:14" hidden="1" x14ac:dyDescent="0.35">
      <c r="A35" t="s">
        <v>11</v>
      </c>
      <c r="B35" t="s">
        <v>12</v>
      </c>
      <c r="C35">
        <v>566</v>
      </c>
      <c r="D35" t="s">
        <v>13</v>
      </c>
      <c r="E35">
        <v>5312</v>
      </c>
      <c r="F35" t="s">
        <v>14</v>
      </c>
      <c r="G35">
        <v>1520.01</v>
      </c>
      <c r="H35" t="s">
        <v>15</v>
      </c>
      <c r="I35">
        <v>2021</v>
      </c>
      <c r="J35">
        <v>2021</v>
      </c>
      <c r="K35" t="s">
        <v>16</v>
      </c>
      <c r="L35" s="4">
        <v>9979330</v>
      </c>
      <c r="M35" t="s">
        <v>17</v>
      </c>
      <c r="N35" t="s">
        <v>18</v>
      </c>
    </row>
    <row r="36" spans="1:14" x14ac:dyDescent="0.35">
      <c r="A36" t="s">
        <v>11</v>
      </c>
      <c r="B36" t="s">
        <v>12</v>
      </c>
      <c r="C36">
        <v>566</v>
      </c>
      <c r="D36" t="s">
        <v>13</v>
      </c>
      <c r="E36">
        <v>5412</v>
      </c>
      <c r="F36" t="s">
        <v>19</v>
      </c>
      <c r="G36">
        <v>1520.01</v>
      </c>
      <c r="H36" t="s">
        <v>15</v>
      </c>
      <c r="I36">
        <v>2021</v>
      </c>
      <c r="J36">
        <v>2021</v>
      </c>
      <c r="K36" t="s">
        <v>20</v>
      </c>
      <c r="L36" s="4">
        <v>5835.8</v>
      </c>
      <c r="M36" t="s">
        <v>17</v>
      </c>
      <c r="N36" t="s">
        <v>18</v>
      </c>
    </row>
    <row r="37" spans="1:14" hidden="1" x14ac:dyDescent="0.35">
      <c r="A37" t="s">
        <v>11</v>
      </c>
      <c r="B37" t="s">
        <v>12</v>
      </c>
      <c r="C37">
        <v>566</v>
      </c>
      <c r="D37" t="s">
        <v>13</v>
      </c>
      <c r="E37">
        <v>5510</v>
      </c>
      <c r="F37" t="s">
        <v>21</v>
      </c>
      <c r="G37">
        <v>1520.01</v>
      </c>
      <c r="H37" t="s">
        <v>15</v>
      </c>
      <c r="I37">
        <v>2021</v>
      </c>
      <c r="J37">
        <v>2021</v>
      </c>
      <c r="K37" t="s">
        <v>22</v>
      </c>
      <c r="L37" s="4">
        <v>58237500</v>
      </c>
      <c r="M37" t="s">
        <v>17</v>
      </c>
      <c r="N37" t="s">
        <v>18</v>
      </c>
    </row>
    <row r="38" spans="1:14" hidden="1" x14ac:dyDescent="0.35">
      <c r="A38" t="s">
        <v>11</v>
      </c>
      <c r="B38" t="s">
        <v>12</v>
      </c>
      <c r="C38">
        <v>566</v>
      </c>
      <c r="D38" t="s">
        <v>13</v>
      </c>
      <c r="E38">
        <v>5312</v>
      </c>
      <c r="F38" t="s">
        <v>14</v>
      </c>
      <c r="G38">
        <v>1520.01</v>
      </c>
      <c r="H38" t="s">
        <v>15</v>
      </c>
      <c r="I38">
        <v>2022</v>
      </c>
      <c r="J38">
        <v>2022</v>
      </c>
      <c r="K38" t="s">
        <v>16</v>
      </c>
      <c r="L38" s="4">
        <v>10043720</v>
      </c>
      <c r="M38" t="s">
        <v>23</v>
      </c>
      <c r="N38" t="s">
        <v>24</v>
      </c>
    </row>
    <row r="39" spans="1:14" x14ac:dyDescent="0.35">
      <c r="A39" t="s">
        <v>11</v>
      </c>
      <c r="B39" t="s">
        <v>12</v>
      </c>
      <c r="C39">
        <v>566</v>
      </c>
      <c r="D39" t="s">
        <v>13</v>
      </c>
      <c r="E39">
        <v>5412</v>
      </c>
      <c r="F39" t="s">
        <v>19</v>
      </c>
      <c r="G39">
        <v>1520.01</v>
      </c>
      <c r="H39" t="s">
        <v>15</v>
      </c>
      <c r="I39">
        <v>2022</v>
      </c>
      <c r="J39">
        <v>2022</v>
      </c>
      <c r="K39" t="s">
        <v>20</v>
      </c>
      <c r="L39" s="4">
        <v>6109.2</v>
      </c>
      <c r="M39" t="s">
        <v>25</v>
      </c>
      <c r="N39" t="s">
        <v>26</v>
      </c>
    </row>
    <row r="40" spans="1:14" hidden="1" x14ac:dyDescent="0.35">
      <c r="A40" t="s">
        <v>11</v>
      </c>
      <c r="B40" t="s">
        <v>12</v>
      </c>
      <c r="C40">
        <v>566</v>
      </c>
      <c r="D40" t="s">
        <v>13</v>
      </c>
      <c r="E40">
        <v>5510</v>
      </c>
      <c r="F40" t="s">
        <v>21</v>
      </c>
      <c r="G40">
        <v>1520.01</v>
      </c>
      <c r="H40" t="s">
        <v>15</v>
      </c>
      <c r="I40">
        <v>2022</v>
      </c>
      <c r="J40">
        <v>2022</v>
      </c>
      <c r="K40" t="s">
        <v>22</v>
      </c>
      <c r="L40" s="4">
        <v>61359000.560000002</v>
      </c>
      <c r="M40" t="s">
        <v>23</v>
      </c>
      <c r="N40" t="s">
        <v>24</v>
      </c>
    </row>
    <row r="41" spans="1:14" hidden="1" x14ac:dyDescent="0.35">
      <c r="A41" t="s">
        <v>11</v>
      </c>
      <c r="B41" t="s">
        <v>12</v>
      </c>
      <c r="C41">
        <v>566</v>
      </c>
      <c r="D41" t="s">
        <v>13</v>
      </c>
      <c r="E41">
        <v>5312</v>
      </c>
      <c r="F41" t="s">
        <v>14</v>
      </c>
      <c r="G41">
        <v>142</v>
      </c>
      <c r="H41" t="s">
        <v>27</v>
      </c>
      <c r="I41">
        <v>2010</v>
      </c>
      <c r="J41">
        <v>2010</v>
      </c>
      <c r="K41" t="s">
        <v>16</v>
      </c>
      <c r="L41" s="4">
        <v>2789180</v>
      </c>
      <c r="M41" t="s">
        <v>17</v>
      </c>
      <c r="N41" t="s">
        <v>18</v>
      </c>
    </row>
    <row r="42" spans="1:14" x14ac:dyDescent="0.35">
      <c r="A42" t="s">
        <v>11</v>
      </c>
      <c r="B42" t="s">
        <v>12</v>
      </c>
      <c r="C42">
        <v>566</v>
      </c>
      <c r="D42" t="s">
        <v>13</v>
      </c>
      <c r="E42">
        <v>5412</v>
      </c>
      <c r="F42" t="s">
        <v>19</v>
      </c>
      <c r="G42">
        <v>142</v>
      </c>
      <c r="H42" t="s">
        <v>27</v>
      </c>
      <c r="I42">
        <v>2010</v>
      </c>
      <c r="J42">
        <v>2010</v>
      </c>
      <c r="K42" t="s">
        <v>20</v>
      </c>
      <c r="L42" s="4">
        <v>1362.1</v>
      </c>
      <c r="M42" t="s">
        <v>17</v>
      </c>
      <c r="N42" t="s">
        <v>18</v>
      </c>
    </row>
    <row r="43" spans="1:14" hidden="1" x14ac:dyDescent="0.35">
      <c r="A43" t="s">
        <v>11</v>
      </c>
      <c r="B43" t="s">
        <v>12</v>
      </c>
      <c r="C43">
        <v>566</v>
      </c>
      <c r="D43" t="s">
        <v>13</v>
      </c>
      <c r="E43">
        <v>5510</v>
      </c>
      <c r="F43" t="s">
        <v>21</v>
      </c>
      <c r="G43">
        <v>142</v>
      </c>
      <c r="H43" t="s">
        <v>27</v>
      </c>
      <c r="I43">
        <v>2010</v>
      </c>
      <c r="J43">
        <v>2010</v>
      </c>
      <c r="K43" t="s">
        <v>22</v>
      </c>
      <c r="L43" s="4">
        <v>3799240</v>
      </c>
      <c r="M43" t="s">
        <v>17</v>
      </c>
      <c r="N43" t="s">
        <v>18</v>
      </c>
    </row>
    <row r="44" spans="1:14" hidden="1" x14ac:dyDescent="0.35">
      <c r="A44" t="s">
        <v>11</v>
      </c>
      <c r="B44" t="s">
        <v>12</v>
      </c>
      <c r="C44">
        <v>566</v>
      </c>
      <c r="D44" t="s">
        <v>13</v>
      </c>
      <c r="E44">
        <v>5312</v>
      </c>
      <c r="F44" t="s">
        <v>14</v>
      </c>
      <c r="G44">
        <v>142</v>
      </c>
      <c r="H44" t="s">
        <v>27</v>
      </c>
      <c r="I44">
        <v>2011</v>
      </c>
      <c r="J44">
        <v>2011</v>
      </c>
      <c r="K44" t="s">
        <v>16</v>
      </c>
      <c r="L44" s="4">
        <v>2353680</v>
      </c>
      <c r="M44" t="s">
        <v>17</v>
      </c>
      <c r="N44" t="s">
        <v>18</v>
      </c>
    </row>
    <row r="45" spans="1:14" x14ac:dyDescent="0.35">
      <c r="A45" t="s">
        <v>11</v>
      </c>
      <c r="B45" t="s">
        <v>12</v>
      </c>
      <c r="C45">
        <v>566</v>
      </c>
      <c r="D45" t="s">
        <v>13</v>
      </c>
      <c r="E45">
        <v>5412</v>
      </c>
      <c r="F45" t="s">
        <v>19</v>
      </c>
      <c r="G45">
        <v>142</v>
      </c>
      <c r="H45" t="s">
        <v>27</v>
      </c>
      <c r="I45">
        <v>2011</v>
      </c>
      <c r="J45">
        <v>2011</v>
      </c>
      <c r="K45" t="s">
        <v>20</v>
      </c>
      <c r="L45" s="4">
        <v>1258.7</v>
      </c>
      <c r="M45" t="s">
        <v>17</v>
      </c>
      <c r="N45" t="s">
        <v>18</v>
      </c>
    </row>
    <row r="46" spans="1:14" hidden="1" x14ac:dyDescent="0.35">
      <c r="A46" t="s">
        <v>11</v>
      </c>
      <c r="B46" t="s">
        <v>12</v>
      </c>
      <c r="C46">
        <v>566</v>
      </c>
      <c r="D46" t="s">
        <v>13</v>
      </c>
      <c r="E46">
        <v>5510</v>
      </c>
      <c r="F46" t="s">
        <v>21</v>
      </c>
      <c r="G46">
        <v>142</v>
      </c>
      <c r="H46" t="s">
        <v>27</v>
      </c>
      <c r="I46">
        <v>2011</v>
      </c>
      <c r="J46">
        <v>2011</v>
      </c>
      <c r="K46" t="s">
        <v>22</v>
      </c>
      <c r="L46" s="4">
        <v>2962627</v>
      </c>
      <c r="M46" t="s">
        <v>17</v>
      </c>
      <c r="N46" t="s">
        <v>18</v>
      </c>
    </row>
    <row r="47" spans="1:14" hidden="1" x14ac:dyDescent="0.35">
      <c r="A47" t="s">
        <v>11</v>
      </c>
      <c r="B47" t="s">
        <v>12</v>
      </c>
      <c r="C47">
        <v>566</v>
      </c>
      <c r="D47" t="s">
        <v>13</v>
      </c>
      <c r="E47">
        <v>5312</v>
      </c>
      <c r="F47" t="s">
        <v>14</v>
      </c>
      <c r="G47">
        <v>142</v>
      </c>
      <c r="H47" t="s">
        <v>27</v>
      </c>
      <c r="I47">
        <v>2012</v>
      </c>
      <c r="J47">
        <v>2012</v>
      </c>
      <c r="K47" t="s">
        <v>16</v>
      </c>
      <c r="L47" s="4">
        <v>2659800</v>
      </c>
      <c r="M47" t="s">
        <v>17</v>
      </c>
      <c r="N47" t="s">
        <v>18</v>
      </c>
    </row>
    <row r="48" spans="1:14" x14ac:dyDescent="0.35">
      <c r="A48" t="s">
        <v>11</v>
      </c>
      <c r="B48" t="s">
        <v>12</v>
      </c>
      <c r="C48">
        <v>566</v>
      </c>
      <c r="D48" t="s">
        <v>13</v>
      </c>
      <c r="E48">
        <v>5412</v>
      </c>
      <c r="F48" t="s">
        <v>19</v>
      </c>
      <c r="G48">
        <v>142</v>
      </c>
      <c r="H48" t="s">
        <v>27</v>
      </c>
      <c r="I48">
        <v>2012</v>
      </c>
      <c r="J48">
        <v>2012</v>
      </c>
      <c r="K48" t="s">
        <v>20</v>
      </c>
      <c r="L48" s="4">
        <v>1245.8</v>
      </c>
      <c r="M48" t="s">
        <v>17</v>
      </c>
      <c r="N48" t="s">
        <v>18</v>
      </c>
    </row>
    <row r="49" spans="1:14" hidden="1" x14ac:dyDescent="0.35">
      <c r="A49" t="s">
        <v>11</v>
      </c>
      <c r="B49" t="s">
        <v>12</v>
      </c>
      <c r="C49">
        <v>566</v>
      </c>
      <c r="D49" t="s">
        <v>13</v>
      </c>
      <c r="E49">
        <v>5510</v>
      </c>
      <c r="F49" t="s">
        <v>21</v>
      </c>
      <c r="G49">
        <v>142</v>
      </c>
      <c r="H49" t="s">
        <v>27</v>
      </c>
      <c r="I49">
        <v>2012</v>
      </c>
      <c r="J49">
        <v>2012</v>
      </c>
      <c r="K49" t="s">
        <v>22</v>
      </c>
      <c r="L49" s="4">
        <v>3313500</v>
      </c>
      <c r="M49" t="s">
        <v>17</v>
      </c>
      <c r="N49" t="s">
        <v>18</v>
      </c>
    </row>
    <row r="50" spans="1:14" hidden="1" x14ac:dyDescent="0.35">
      <c r="A50" t="s">
        <v>11</v>
      </c>
      <c r="B50" t="s">
        <v>12</v>
      </c>
      <c r="C50">
        <v>566</v>
      </c>
      <c r="D50" t="s">
        <v>13</v>
      </c>
      <c r="E50">
        <v>5312</v>
      </c>
      <c r="F50" t="s">
        <v>14</v>
      </c>
      <c r="G50">
        <v>142</v>
      </c>
      <c r="H50" t="s">
        <v>27</v>
      </c>
      <c r="I50">
        <v>2013</v>
      </c>
      <c r="J50">
        <v>2013</v>
      </c>
      <c r="K50" t="s">
        <v>16</v>
      </c>
      <c r="L50" s="4">
        <v>2732700</v>
      </c>
      <c r="M50" t="s">
        <v>17</v>
      </c>
      <c r="N50" t="s">
        <v>18</v>
      </c>
    </row>
    <row r="51" spans="1:14" x14ac:dyDescent="0.35">
      <c r="A51" t="s">
        <v>11</v>
      </c>
      <c r="B51" t="s">
        <v>12</v>
      </c>
      <c r="C51">
        <v>566</v>
      </c>
      <c r="D51" t="s">
        <v>13</v>
      </c>
      <c r="E51">
        <v>5412</v>
      </c>
      <c r="F51" t="s">
        <v>19</v>
      </c>
      <c r="G51">
        <v>142</v>
      </c>
      <c r="H51" t="s">
        <v>27</v>
      </c>
      <c r="I51">
        <v>2013</v>
      </c>
      <c r="J51">
        <v>2013</v>
      </c>
      <c r="K51" t="s">
        <v>20</v>
      </c>
      <c r="L51" s="4">
        <v>905.5</v>
      </c>
      <c r="M51" t="s">
        <v>17</v>
      </c>
      <c r="N51" t="s">
        <v>18</v>
      </c>
    </row>
    <row r="52" spans="1:14" hidden="1" x14ac:dyDescent="0.35">
      <c r="A52" t="s">
        <v>11</v>
      </c>
      <c r="B52" t="s">
        <v>12</v>
      </c>
      <c r="C52">
        <v>566</v>
      </c>
      <c r="D52" t="s">
        <v>13</v>
      </c>
      <c r="E52">
        <v>5510</v>
      </c>
      <c r="F52" t="s">
        <v>21</v>
      </c>
      <c r="G52">
        <v>142</v>
      </c>
      <c r="H52" t="s">
        <v>27</v>
      </c>
      <c r="I52">
        <v>2013</v>
      </c>
      <c r="J52">
        <v>2013</v>
      </c>
      <c r="K52" t="s">
        <v>22</v>
      </c>
      <c r="L52" s="4">
        <v>2474530</v>
      </c>
      <c r="M52" t="s">
        <v>17</v>
      </c>
      <c r="N52" t="s">
        <v>18</v>
      </c>
    </row>
    <row r="53" spans="1:14" hidden="1" x14ac:dyDescent="0.35">
      <c r="A53" t="s">
        <v>11</v>
      </c>
      <c r="B53" t="s">
        <v>12</v>
      </c>
      <c r="C53">
        <v>566</v>
      </c>
      <c r="D53" t="s">
        <v>13</v>
      </c>
      <c r="E53">
        <v>5312</v>
      </c>
      <c r="F53" t="s">
        <v>14</v>
      </c>
      <c r="G53">
        <v>142</v>
      </c>
      <c r="H53" t="s">
        <v>27</v>
      </c>
      <c r="I53">
        <v>2014</v>
      </c>
      <c r="J53">
        <v>2014</v>
      </c>
      <c r="K53" t="s">
        <v>16</v>
      </c>
      <c r="L53" s="4">
        <v>2799773</v>
      </c>
      <c r="M53" t="s">
        <v>17</v>
      </c>
      <c r="N53" t="s">
        <v>18</v>
      </c>
    </row>
    <row r="54" spans="1:14" x14ac:dyDescent="0.35">
      <c r="A54" t="s">
        <v>11</v>
      </c>
      <c r="B54" t="s">
        <v>12</v>
      </c>
      <c r="C54">
        <v>566</v>
      </c>
      <c r="D54" t="s">
        <v>13</v>
      </c>
      <c r="E54">
        <v>5412</v>
      </c>
      <c r="F54" t="s">
        <v>19</v>
      </c>
      <c r="G54">
        <v>142</v>
      </c>
      <c r="H54" t="s">
        <v>27</v>
      </c>
      <c r="I54">
        <v>2014</v>
      </c>
      <c r="J54">
        <v>2014</v>
      </c>
      <c r="K54" t="s">
        <v>20</v>
      </c>
      <c r="L54" s="4">
        <v>1214.0999999999999</v>
      </c>
      <c r="M54" t="s">
        <v>17</v>
      </c>
      <c r="N54" t="s">
        <v>18</v>
      </c>
    </row>
    <row r="55" spans="1:14" hidden="1" x14ac:dyDescent="0.35">
      <c r="A55" t="s">
        <v>11</v>
      </c>
      <c r="B55" t="s">
        <v>12</v>
      </c>
      <c r="C55">
        <v>566</v>
      </c>
      <c r="D55" t="s">
        <v>13</v>
      </c>
      <c r="E55">
        <v>5510</v>
      </c>
      <c r="F55" t="s">
        <v>21</v>
      </c>
      <c r="G55">
        <v>142</v>
      </c>
      <c r="H55" t="s">
        <v>27</v>
      </c>
      <c r="I55">
        <v>2014</v>
      </c>
      <c r="J55">
        <v>2014</v>
      </c>
      <c r="K55" t="s">
        <v>22</v>
      </c>
      <c r="L55" s="4">
        <v>3399158</v>
      </c>
      <c r="M55" t="s">
        <v>17</v>
      </c>
      <c r="N55" t="s">
        <v>18</v>
      </c>
    </row>
    <row r="56" spans="1:14" hidden="1" x14ac:dyDescent="0.35">
      <c r="A56" t="s">
        <v>11</v>
      </c>
      <c r="B56" t="s">
        <v>12</v>
      </c>
      <c r="C56">
        <v>566</v>
      </c>
      <c r="D56" t="s">
        <v>13</v>
      </c>
      <c r="E56">
        <v>5312</v>
      </c>
      <c r="F56" t="s">
        <v>14</v>
      </c>
      <c r="G56">
        <v>142</v>
      </c>
      <c r="H56" t="s">
        <v>27</v>
      </c>
      <c r="I56">
        <v>2015</v>
      </c>
      <c r="J56">
        <v>2015</v>
      </c>
      <c r="K56" t="s">
        <v>16</v>
      </c>
      <c r="L56" s="4">
        <v>2801756</v>
      </c>
      <c r="M56" t="s">
        <v>17</v>
      </c>
      <c r="N56" t="s">
        <v>18</v>
      </c>
    </row>
    <row r="57" spans="1:14" x14ac:dyDescent="0.35">
      <c r="A57" t="s">
        <v>11</v>
      </c>
      <c r="B57" t="s">
        <v>12</v>
      </c>
      <c r="C57">
        <v>566</v>
      </c>
      <c r="D57" t="s">
        <v>13</v>
      </c>
      <c r="E57">
        <v>5412</v>
      </c>
      <c r="F57" t="s">
        <v>19</v>
      </c>
      <c r="G57">
        <v>142</v>
      </c>
      <c r="H57" t="s">
        <v>27</v>
      </c>
      <c r="I57">
        <v>2015</v>
      </c>
      <c r="J57">
        <v>2015</v>
      </c>
      <c r="K57" t="s">
        <v>20</v>
      </c>
      <c r="L57" s="4">
        <v>1237.5999999999999</v>
      </c>
      <c r="M57" t="s">
        <v>17</v>
      </c>
      <c r="N57" t="s">
        <v>18</v>
      </c>
    </row>
    <row r="58" spans="1:14" hidden="1" x14ac:dyDescent="0.35">
      <c r="A58" t="s">
        <v>11</v>
      </c>
      <c r="B58" t="s">
        <v>12</v>
      </c>
      <c r="C58">
        <v>566</v>
      </c>
      <c r="D58" t="s">
        <v>13</v>
      </c>
      <c r="E58">
        <v>5510</v>
      </c>
      <c r="F58" t="s">
        <v>21</v>
      </c>
      <c r="G58">
        <v>142</v>
      </c>
      <c r="H58" t="s">
        <v>27</v>
      </c>
      <c r="I58">
        <v>2015</v>
      </c>
      <c r="J58">
        <v>2015</v>
      </c>
      <c r="K58" t="s">
        <v>22</v>
      </c>
      <c r="L58" s="4">
        <v>3467446</v>
      </c>
      <c r="M58" t="s">
        <v>17</v>
      </c>
      <c r="N58" t="s">
        <v>18</v>
      </c>
    </row>
    <row r="59" spans="1:14" hidden="1" x14ac:dyDescent="0.35">
      <c r="A59" t="s">
        <v>11</v>
      </c>
      <c r="B59" t="s">
        <v>12</v>
      </c>
      <c r="C59">
        <v>566</v>
      </c>
      <c r="D59" t="s">
        <v>13</v>
      </c>
      <c r="E59">
        <v>5312</v>
      </c>
      <c r="F59" t="s">
        <v>14</v>
      </c>
      <c r="G59">
        <v>142</v>
      </c>
      <c r="H59" t="s">
        <v>27</v>
      </c>
      <c r="I59">
        <v>2016</v>
      </c>
      <c r="J59">
        <v>2016</v>
      </c>
      <c r="K59" t="s">
        <v>16</v>
      </c>
      <c r="L59" s="4">
        <v>3458710</v>
      </c>
      <c r="M59" t="s">
        <v>17</v>
      </c>
      <c r="N59" t="s">
        <v>18</v>
      </c>
    </row>
    <row r="60" spans="1:14" x14ac:dyDescent="0.35">
      <c r="A60" t="s">
        <v>11</v>
      </c>
      <c r="B60" t="s">
        <v>12</v>
      </c>
      <c r="C60">
        <v>566</v>
      </c>
      <c r="D60" t="s">
        <v>13</v>
      </c>
      <c r="E60">
        <v>5412</v>
      </c>
      <c r="F60" t="s">
        <v>19</v>
      </c>
      <c r="G60">
        <v>142</v>
      </c>
      <c r="H60" t="s">
        <v>27</v>
      </c>
      <c r="I60">
        <v>2016</v>
      </c>
      <c r="J60">
        <v>2016</v>
      </c>
      <c r="K60" t="s">
        <v>20</v>
      </c>
      <c r="L60" s="4">
        <v>1260.7</v>
      </c>
      <c r="M60" t="s">
        <v>17</v>
      </c>
      <c r="N60" t="s">
        <v>18</v>
      </c>
    </row>
    <row r="61" spans="1:14" hidden="1" x14ac:dyDescent="0.35">
      <c r="A61" t="s">
        <v>11</v>
      </c>
      <c r="B61" t="s">
        <v>12</v>
      </c>
      <c r="C61">
        <v>566</v>
      </c>
      <c r="D61" t="s">
        <v>13</v>
      </c>
      <c r="E61">
        <v>5510</v>
      </c>
      <c r="F61" t="s">
        <v>21</v>
      </c>
      <c r="G61">
        <v>142</v>
      </c>
      <c r="H61" t="s">
        <v>27</v>
      </c>
      <c r="I61">
        <v>2016</v>
      </c>
      <c r="J61">
        <v>2016</v>
      </c>
      <c r="K61" t="s">
        <v>22</v>
      </c>
      <c r="L61" s="4">
        <v>4360500</v>
      </c>
      <c r="M61" t="s">
        <v>17</v>
      </c>
      <c r="N61" t="s">
        <v>18</v>
      </c>
    </row>
    <row r="62" spans="1:14" hidden="1" x14ac:dyDescent="0.35">
      <c r="A62" t="s">
        <v>11</v>
      </c>
      <c r="B62" t="s">
        <v>12</v>
      </c>
      <c r="C62">
        <v>566</v>
      </c>
      <c r="D62" t="s">
        <v>13</v>
      </c>
      <c r="E62">
        <v>5312</v>
      </c>
      <c r="F62" t="s">
        <v>14</v>
      </c>
      <c r="G62">
        <v>142</v>
      </c>
      <c r="H62" t="s">
        <v>27</v>
      </c>
      <c r="I62">
        <v>2017</v>
      </c>
      <c r="J62">
        <v>2017</v>
      </c>
      <c r="K62" t="s">
        <v>16</v>
      </c>
      <c r="L62" s="4">
        <v>3596850</v>
      </c>
      <c r="M62" t="s">
        <v>17</v>
      </c>
      <c r="N62" t="s">
        <v>18</v>
      </c>
    </row>
    <row r="63" spans="1:14" x14ac:dyDescent="0.35">
      <c r="A63" t="s">
        <v>11</v>
      </c>
      <c r="B63" t="s">
        <v>12</v>
      </c>
      <c r="C63">
        <v>566</v>
      </c>
      <c r="D63" t="s">
        <v>13</v>
      </c>
      <c r="E63">
        <v>5412</v>
      </c>
      <c r="F63" t="s">
        <v>19</v>
      </c>
      <c r="G63">
        <v>142</v>
      </c>
      <c r="H63" t="s">
        <v>27</v>
      </c>
      <c r="I63">
        <v>2017</v>
      </c>
      <c r="J63">
        <v>2017</v>
      </c>
      <c r="K63" t="s">
        <v>20</v>
      </c>
      <c r="L63" s="4">
        <v>1257.0999999999999</v>
      </c>
      <c r="M63" t="s">
        <v>17</v>
      </c>
      <c r="N63" t="s">
        <v>18</v>
      </c>
    </row>
    <row r="64" spans="1:14" hidden="1" x14ac:dyDescent="0.35">
      <c r="A64" t="s">
        <v>11</v>
      </c>
      <c r="B64" t="s">
        <v>12</v>
      </c>
      <c r="C64">
        <v>566</v>
      </c>
      <c r="D64" t="s">
        <v>13</v>
      </c>
      <c r="E64">
        <v>5510</v>
      </c>
      <c r="F64" t="s">
        <v>21</v>
      </c>
      <c r="G64">
        <v>142</v>
      </c>
      <c r="H64" t="s">
        <v>27</v>
      </c>
      <c r="I64">
        <v>2017</v>
      </c>
      <c r="J64">
        <v>2017</v>
      </c>
      <c r="K64" t="s">
        <v>22</v>
      </c>
      <c r="L64" s="4">
        <v>4521450</v>
      </c>
      <c r="M64" t="s">
        <v>17</v>
      </c>
      <c r="N64" t="s">
        <v>18</v>
      </c>
    </row>
    <row r="65" spans="1:14" hidden="1" x14ac:dyDescent="0.35">
      <c r="A65" t="s">
        <v>11</v>
      </c>
      <c r="B65" t="s">
        <v>12</v>
      </c>
      <c r="C65">
        <v>566</v>
      </c>
      <c r="D65" t="s">
        <v>13</v>
      </c>
      <c r="E65">
        <v>5312</v>
      </c>
      <c r="F65" t="s">
        <v>14</v>
      </c>
      <c r="G65">
        <v>142</v>
      </c>
      <c r="H65" t="s">
        <v>27</v>
      </c>
      <c r="I65">
        <v>2018</v>
      </c>
      <c r="J65">
        <v>2018</v>
      </c>
      <c r="K65" t="s">
        <v>16</v>
      </c>
      <c r="L65" s="4">
        <v>3759976</v>
      </c>
      <c r="M65" t="s">
        <v>23</v>
      </c>
      <c r="N65" t="s">
        <v>24</v>
      </c>
    </row>
    <row r="66" spans="1:14" x14ac:dyDescent="0.35">
      <c r="A66" t="s">
        <v>11</v>
      </c>
      <c r="B66" t="s">
        <v>12</v>
      </c>
      <c r="C66">
        <v>566</v>
      </c>
      <c r="D66" t="s">
        <v>13</v>
      </c>
      <c r="E66">
        <v>5412</v>
      </c>
      <c r="F66" t="s">
        <v>19</v>
      </c>
      <c r="G66">
        <v>142</v>
      </c>
      <c r="H66" t="s">
        <v>27</v>
      </c>
      <c r="I66">
        <v>2018</v>
      </c>
      <c r="J66">
        <v>2018</v>
      </c>
      <c r="K66" t="s">
        <v>20</v>
      </c>
      <c r="L66" s="4">
        <v>1223.4000000000001</v>
      </c>
      <c r="M66" t="s">
        <v>25</v>
      </c>
      <c r="N66" t="s">
        <v>26</v>
      </c>
    </row>
    <row r="67" spans="1:14" hidden="1" x14ac:dyDescent="0.35">
      <c r="A67" t="s">
        <v>11</v>
      </c>
      <c r="B67" t="s">
        <v>12</v>
      </c>
      <c r="C67">
        <v>566</v>
      </c>
      <c r="D67" t="s">
        <v>13</v>
      </c>
      <c r="E67">
        <v>5510</v>
      </c>
      <c r="F67" t="s">
        <v>21</v>
      </c>
      <c r="G67">
        <v>142</v>
      </c>
      <c r="H67" t="s">
        <v>27</v>
      </c>
      <c r="I67">
        <v>2018</v>
      </c>
      <c r="J67">
        <v>2018</v>
      </c>
      <c r="K67" t="s">
        <v>22</v>
      </c>
      <c r="L67" s="4">
        <v>4600000</v>
      </c>
      <c r="M67" t="s">
        <v>25</v>
      </c>
      <c r="N67" t="s">
        <v>26</v>
      </c>
    </row>
    <row r="68" spans="1:14" hidden="1" x14ac:dyDescent="0.35">
      <c r="A68" t="s">
        <v>11</v>
      </c>
      <c r="B68" t="s">
        <v>12</v>
      </c>
      <c r="C68">
        <v>566</v>
      </c>
      <c r="D68" t="s">
        <v>13</v>
      </c>
      <c r="E68">
        <v>5312</v>
      </c>
      <c r="F68" t="s">
        <v>14</v>
      </c>
      <c r="G68">
        <v>142</v>
      </c>
      <c r="H68" t="s">
        <v>27</v>
      </c>
      <c r="I68">
        <v>2019</v>
      </c>
      <c r="J68">
        <v>2019</v>
      </c>
      <c r="K68" t="s">
        <v>16</v>
      </c>
      <c r="L68" s="4">
        <v>3601541</v>
      </c>
      <c r="M68" t="s">
        <v>23</v>
      </c>
      <c r="N68" t="s">
        <v>24</v>
      </c>
    </row>
    <row r="69" spans="1:14" x14ac:dyDescent="0.35">
      <c r="A69" t="s">
        <v>11</v>
      </c>
      <c r="B69" t="s">
        <v>12</v>
      </c>
      <c r="C69">
        <v>566</v>
      </c>
      <c r="D69" t="s">
        <v>13</v>
      </c>
      <c r="E69">
        <v>5412</v>
      </c>
      <c r="F69" t="s">
        <v>19</v>
      </c>
      <c r="G69">
        <v>142</v>
      </c>
      <c r="H69" t="s">
        <v>27</v>
      </c>
      <c r="I69">
        <v>2019</v>
      </c>
      <c r="J69">
        <v>2019</v>
      </c>
      <c r="K69" t="s">
        <v>20</v>
      </c>
      <c r="L69" s="4">
        <v>1209.8</v>
      </c>
      <c r="M69" t="s">
        <v>25</v>
      </c>
      <c r="N69" t="s">
        <v>26</v>
      </c>
    </row>
    <row r="70" spans="1:14" hidden="1" x14ac:dyDescent="0.35">
      <c r="A70" t="s">
        <v>11</v>
      </c>
      <c r="B70" t="s">
        <v>12</v>
      </c>
      <c r="C70">
        <v>566</v>
      </c>
      <c r="D70" t="s">
        <v>13</v>
      </c>
      <c r="E70">
        <v>5510</v>
      </c>
      <c r="F70" t="s">
        <v>21</v>
      </c>
      <c r="G70">
        <v>142</v>
      </c>
      <c r="H70" t="s">
        <v>27</v>
      </c>
      <c r="I70">
        <v>2019</v>
      </c>
      <c r="J70">
        <v>2019</v>
      </c>
      <c r="K70" t="s">
        <v>22</v>
      </c>
      <c r="L70" s="4">
        <v>4357032.01</v>
      </c>
      <c r="M70" t="s">
        <v>23</v>
      </c>
      <c r="N70" t="s">
        <v>24</v>
      </c>
    </row>
    <row r="71" spans="1:14" hidden="1" x14ac:dyDescent="0.35">
      <c r="A71" t="s">
        <v>11</v>
      </c>
      <c r="B71" t="s">
        <v>12</v>
      </c>
      <c r="C71">
        <v>566</v>
      </c>
      <c r="D71" t="s">
        <v>13</v>
      </c>
      <c r="E71">
        <v>5312</v>
      </c>
      <c r="F71" t="s">
        <v>14</v>
      </c>
      <c r="G71">
        <v>142</v>
      </c>
      <c r="H71" t="s">
        <v>27</v>
      </c>
      <c r="I71">
        <v>2020</v>
      </c>
      <c r="J71">
        <v>2020</v>
      </c>
      <c r="K71" t="s">
        <v>16</v>
      </c>
      <c r="L71" s="4">
        <v>3620190</v>
      </c>
      <c r="M71" t="s">
        <v>17</v>
      </c>
      <c r="N71" t="s">
        <v>18</v>
      </c>
    </row>
    <row r="72" spans="1:14" x14ac:dyDescent="0.35">
      <c r="A72" t="s">
        <v>11</v>
      </c>
      <c r="B72" t="s">
        <v>12</v>
      </c>
      <c r="C72">
        <v>566</v>
      </c>
      <c r="D72" t="s">
        <v>13</v>
      </c>
      <c r="E72">
        <v>5412</v>
      </c>
      <c r="F72" t="s">
        <v>19</v>
      </c>
      <c r="G72">
        <v>142</v>
      </c>
      <c r="H72" t="s">
        <v>27</v>
      </c>
      <c r="I72">
        <v>2020</v>
      </c>
      <c r="J72">
        <v>2020</v>
      </c>
      <c r="K72" t="s">
        <v>20</v>
      </c>
      <c r="L72" s="4">
        <v>1168.5999999999999</v>
      </c>
      <c r="M72" t="s">
        <v>17</v>
      </c>
      <c r="N72" t="s">
        <v>18</v>
      </c>
    </row>
    <row r="73" spans="1:14" hidden="1" x14ac:dyDescent="0.35">
      <c r="A73" t="s">
        <v>11</v>
      </c>
      <c r="B73" t="s">
        <v>12</v>
      </c>
      <c r="C73">
        <v>566</v>
      </c>
      <c r="D73" t="s">
        <v>13</v>
      </c>
      <c r="E73">
        <v>5510</v>
      </c>
      <c r="F73" t="s">
        <v>21</v>
      </c>
      <c r="G73">
        <v>142</v>
      </c>
      <c r="H73" t="s">
        <v>27</v>
      </c>
      <c r="I73">
        <v>2020</v>
      </c>
      <c r="J73">
        <v>2020</v>
      </c>
      <c r="K73" t="s">
        <v>22</v>
      </c>
      <c r="L73" s="4">
        <v>4230560</v>
      </c>
      <c r="M73" t="s">
        <v>17</v>
      </c>
      <c r="N73" t="s">
        <v>18</v>
      </c>
    </row>
    <row r="74" spans="1:14" hidden="1" x14ac:dyDescent="0.35">
      <c r="A74" t="s">
        <v>11</v>
      </c>
      <c r="B74" t="s">
        <v>12</v>
      </c>
      <c r="C74">
        <v>566</v>
      </c>
      <c r="D74" t="s">
        <v>13</v>
      </c>
      <c r="E74">
        <v>5312</v>
      </c>
      <c r="F74" t="s">
        <v>14</v>
      </c>
      <c r="G74">
        <v>142</v>
      </c>
      <c r="H74" t="s">
        <v>27</v>
      </c>
      <c r="I74">
        <v>2021</v>
      </c>
      <c r="J74">
        <v>2021</v>
      </c>
      <c r="K74" t="s">
        <v>16</v>
      </c>
      <c r="L74" s="4">
        <v>3702210</v>
      </c>
      <c r="M74" t="s">
        <v>17</v>
      </c>
      <c r="N74" t="s">
        <v>18</v>
      </c>
    </row>
    <row r="75" spans="1:14" x14ac:dyDescent="0.35">
      <c r="A75" t="s">
        <v>11</v>
      </c>
      <c r="B75" t="s">
        <v>12</v>
      </c>
      <c r="C75">
        <v>566</v>
      </c>
      <c r="D75" t="s">
        <v>13</v>
      </c>
      <c r="E75">
        <v>5412</v>
      </c>
      <c r="F75" t="s">
        <v>19</v>
      </c>
      <c r="G75">
        <v>142</v>
      </c>
      <c r="H75" t="s">
        <v>27</v>
      </c>
      <c r="I75">
        <v>2021</v>
      </c>
      <c r="J75">
        <v>2021</v>
      </c>
      <c r="K75" t="s">
        <v>20</v>
      </c>
      <c r="L75" s="4">
        <v>1141.9000000000001</v>
      </c>
      <c r="M75" t="s">
        <v>17</v>
      </c>
      <c r="N75" t="s">
        <v>18</v>
      </c>
    </row>
    <row r="76" spans="1:14" hidden="1" x14ac:dyDescent="0.35">
      <c r="A76" t="s">
        <v>11</v>
      </c>
      <c r="B76" t="s">
        <v>12</v>
      </c>
      <c r="C76">
        <v>566</v>
      </c>
      <c r="D76" t="s">
        <v>13</v>
      </c>
      <c r="E76">
        <v>5510</v>
      </c>
      <c r="F76" t="s">
        <v>21</v>
      </c>
      <c r="G76">
        <v>142</v>
      </c>
      <c r="H76" t="s">
        <v>27</v>
      </c>
      <c r="I76">
        <v>2021</v>
      </c>
      <c r="J76">
        <v>2021</v>
      </c>
      <c r="K76" t="s">
        <v>22</v>
      </c>
      <c r="L76" s="4">
        <v>4227520</v>
      </c>
      <c r="M76" t="s">
        <v>17</v>
      </c>
      <c r="N76" t="s">
        <v>18</v>
      </c>
    </row>
    <row r="77" spans="1:14" hidden="1" x14ac:dyDescent="0.35">
      <c r="A77" t="s">
        <v>11</v>
      </c>
      <c r="B77" t="s">
        <v>12</v>
      </c>
      <c r="C77">
        <v>566</v>
      </c>
      <c r="D77" t="s">
        <v>13</v>
      </c>
      <c r="E77">
        <v>5312</v>
      </c>
      <c r="F77" t="s">
        <v>14</v>
      </c>
      <c r="G77">
        <v>142</v>
      </c>
      <c r="H77" t="s">
        <v>27</v>
      </c>
      <c r="I77">
        <v>2022</v>
      </c>
      <c r="J77">
        <v>2022</v>
      </c>
      <c r="K77" t="s">
        <v>16</v>
      </c>
      <c r="L77" s="4">
        <v>3400000</v>
      </c>
      <c r="M77" t="s">
        <v>28</v>
      </c>
      <c r="N77" t="s">
        <v>29</v>
      </c>
    </row>
    <row r="78" spans="1:14" x14ac:dyDescent="0.35">
      <c r="A78" t="s">
        <v>11</v>
      </c>
      <c r="B78" t="s">
        <v>12</v>
      </c>
      <c r="C78">
        <v>566</v>
      </c>
      <c r="D78" t="s">
        <v>13</v>
      </c>
      <c r="E78">
        <v>5412</v>
      </c>
      <c r="F78" t="s">
        <v>19</v>
      </c>
      <c r="G78">
        <v>142</v>
      </c>
      <c r="H78" t="s">
        <v>27</v>
      </c>
      <c r="I78">
        <v>2022</v>
      </c>
      <c r="J78">
        <v>2022</v>
      </c>
      <c r="K78" t="s">
        <v>20</v>
      </c>
      <c r="L78" s="4">
        <v>1260</v>
      </c>
      <c r="M78" t="s">
        <v>28</v>
      </c>
      <c r="N78" t="s">
        <v>29</v>
      </c>
    </row>
    <row r="79" spans="1:14" hidden="1" x14ac:dyDescent="0.35">
      <c r="A79" t="s">
        <v>11</v>
      </c>
      <c r="B79" t="s">
        <v>12</v>
      </c>
      <c r="C79">
        <v>566</v>
      </c>
      <c r="D79" t="s">
        <v>13</v>
      </c>
      <c r="E79">
        <v>5510</v>
      </c>
      <c r="F79" t="s">
        <v>21</v>
      </c>
      <c r="G79">
        <v>142</v>
      </c>
      <c r="H79" t="s">
        <v>27</v>
      </c>
      <c r="I79">
        <v>2022</v>
      </c>
      <c r="J79">
        <v>2022</v>
      </c>
      <c r="K79" t="s">
        <v>22</v>
      </c>
      <c r="L79" s="4">
        <v>4284000</v>
      </c>
      <c r="M79" t="s">
        <v>28</v>
      </c>
      <c r="N79" t="s">
        <v>29</v>
      </c>
    </row>
    <row r="80" spans="1:14" hidden="1" x14ac:dyDescent="0.35">
      <c r="A80" t="s">
        <v>11</v>
      </c>
      <c r="B80" t="s">
        <v>12</v>
      </c>
      <c r="C80">
        <v>566</v>
      </c>
      <c r="D80" t="s">
        <v>13</v>
      </c>
      <c r="E80">
        <v>5312</v>
      </c>
      <c r="F80" t="s">
        <v>14</v>
      </c>
      <c r="G80">
        <v>112</v>
      </c>
      <c r="H80" t="s">
        <v>30</v>
      </c>
      <c r="I80">
        <v>2010</v>
      </c>
      <c r="J80">
        <v>2010</v>
      </c>
      <c r="K80" t="s">
        <v>16</v>
      </c>
      <c r="L80" s="4">
        <v>4149310</v>
      </c>
      <c r="M80" t="s">
        <v>17</v>
      </c>
      <c r="N80" t="s">
        <v>18</v>
      </c>
    </row>
    <row r="81" spans="1:14" x14ac:dyDescent="0.35">
      <c r="A81" t="s">
        <v>11</v>
      </c>
      <c r="B81" t="s">
        <v>12</v>
      </c>
      <c r="C81">
        <v>566</v>
      </c>
      <c r="D81" t="s">
        <v>13</v>
      </c>
      <c r="E81">
        <v>5412</v>
      </c>
      <c r="F81" t="s">
        <v>19</v>
      </c>
      <c r="G81">
        <v>112</v>
      </c>
      <c r="H81" t="s">
        <v>30</v>
      </c>
      <c r="I81">
        <v>2010</v>
      </c>
      <c r="J81">
        <v>2010</v>
      </c>
      <c r="K81" t="s">
        <v>20</v>
      </c>
      <c r="L81" s="4">
        <v>1850.2</v>
      </c>
      <c r="M81" t="s">
        <v>17</v>
      </c>
      <c r="N81" t="s">
        <v>18</v>
      </c>
    </row>
    <row r="82" spans="1:14" hidden="1" x14ac:dyDescent="0.35">
      <c r="A82" t="s">
        <v>11</v>
      </c>
      <c r="B82" t="s">
        <v>12</v>
      </c>
      <c r="C82">
        <v>566</v>
      </c>
      <c r="D82" t="s">
        <v>13</v>
      </c>
      <c r="E82">
        <v>5510</v>
      </c>
      <c r="F82" t="s">
        <v>21</v>
      </c>
      <c r="G82">
        <v>112</v>
      </c>
      <c r="H82" t="s">
        <v>30</v>
      </c>
      <c r="I82">
        <v>2010</v>
      </c>
      <c r="J82">
        <v>2010</v>
      </c>
      <c r="K82" t="s">
        <v>22</v>
      </c>
      <c r="L82" s="4">
        <v>7676850</v>
      </c>
      <c r="M82" t="s">
        <v>17</v>
      </c>
      <c r="N82" t="s">
        <v>18</v>
      </c>
    </row>
    <row r="83" spans="1:14" hidden="1" x14ac:dyDescent="0.35">
      <c r="A83" t="s">
        <v>11</v>
      </c>
      <c r="B83" t="s">
        <v>12</v>
      </c>
      <c r="C83">
        <v>566</v>
      </c>
      <c r="D83" t="s">
        <v>13</v>
      </c>
      <c r="E83">
        <v>5312</v>
      </c>
      <c r="F83" t="s">
        <v>14</v>
      </c>
      <c r="G83">
        <v>112</v>
      </c>
      <c r="H83" t="s">
        <v>30</v>
      </c>
      <c r="I83">
        <v>2011</v>
      </c>
      <c r="J83">
        <v>2011</v>
      </c>
      <c r="K83" t="s">
        <v>16</v>
      </c>
      <c r="L83" s="4">
        <v>5456540</v>
      </c>
      <c r="M83" t="s">
        <v>17</v>
      </c>
      <c r="N83" t="s">
        <v>18</v>
      </c>
    </row>
    <row r="84" spans="1:14" x14ac:dyDescent="0.35">
      <c r="A84" t="s">
        <v>11</v>
      </c>
      <c r="B84" t="s">
        <v>12</v>
      </c>
      <c r="C84">
        <v>566</v>
      </c>
      <c r="D84" t="s">
        <v>13</v>
      </c>
      <c r="E84">
        <v>5412</v>
      </c>
      <c r="F84" t="s">
        <v>19</v>
      </c>
      <c r="G84">
        <v>112</v>
      </c>
      <c r="H84" t="s">
        <v>30</v>
      </c>
      <c r="I84">
        <v>2011</v>
      </c>
      <c r="J84">
        <v>2011</v>
      </c>
      <c r="K84" t="s">
        <v>20</v>
      </c>
      <c r="L84" s="4">
        <v>1627.1</v>
      </c>
      <c r="M84" t="s">
        <v>17</v>
      </c>
      <c r="N84" t="s">
        <v>18</v>
      </c>
    </row>
    <row r="85" spans="1:14" hidden="1" x14ac:dyDescent="0.35">
      <c r="A85" t="s">
        <v>11</v>
      </c>
      <c r="B85" t="s">
        <v>12</v>
      </c>
      <c r="C85">
        <v>566</v>
      </c>
      <c r="D85" t="s">
        <v>13</v>
      </c>
      <c r="E85">
        <v>5510</v>
      </c>
      <c r="F85" t="s">
        <v>21</v>
      </c>
      <c r="G85">
        <v>112</v>
      </c>
      <c r="H85" t="s">
        <v>30</v>
      </c>
      <c r="I85">
        <v>2011</v>
      </c>
      <c r="J85">
        <v>2011</v>
      </c>
      <c r="K85" t="s">
        <v>22</v>
      </c>
      <c r="L85" s="4">
        <v>8878456</v>
      </c>
      <c r="M85" t="s">
        <v>17</v>
      </c>
      <c r="N85" t="s">
        <v>18</v>
      </c>
    </row>
    <row r="86" spans="1:14" hidden="1" x14ac:dyDescent="0.35">
      <c r="A86" t="s">
        <v>11</v>
      </c>
      <c r="B86" t="s">
        <v>12</v>
      </c>
      <c r="C86">
        <v>566</v>
      </c>
      <c r="D86" t="s">
        <v>13</v>
      </c>
      <c r="E86">
        <v>5312</v>
      </c>
      <c r="F86" t="s">
        <v>14</v>
      </c>
      <c r="G86">
        <v>112</v>
      </c>
      <c r="H86" t="s">
        <v>30</v>
      </c>
      <c r="I86">
        <v>2012</v>
      </c>
      <c r="J86">
        <v>2012</v>
      </c>
      <c r="K86" t="s">
        <v>16</v>
      </c>
      <c r="L86" s="4">
        <v>5751300</v>
      </c>
      <c r="M86" t="s">
        <v>17</v>
      </c>
      <c r="N86" t="s">
        <v>18</v>
      </c>
    </row>
    <row r="87" spans="1:14" x14ac:dyDescent="0.35">
      <c r="A87" t="s">
        <v>11</v>
      </c>
      <c r="B87" t="s">
        <v>12</v>
      </c>
      <c r="C87">
        <v>566</v>
      </c>
      <c r="D87" t="s">
        <v>13</v>
      </c>
      <c r="E87">
        <v>5412</v>
      </c>
      <c r="F87" t="s">
        <v>19</v>
      </c>
      <c r="G87">
        <v>112</v>
      </c>
      <c r="H87" t="s">
        <v>30</v>
      </c>
      <c r="I87">
        <v>2012</v>
      </c>
      <c r="J87">
        <v>2012</v>
      </c>
      <c r="K87" t="s">
        <v>20</v>
      </c>
      <c r="L87" s="4">
        <v>1511.8</v>
      </c>
      <c r="M87" t="s">
        <v>17</v>
      </c>
      <c r="N87" t="s">
        <v>18</v>
      </c>
    </row>
    <row r="88" spans="1:14" hidden="1" x14ac:dyDescent="0.35">
      <c r="A88" t="s">
        <v>11</v>
      </c>
      <c r="B88" t="s">
        <v>12</v>
      </c>
      <c r="C88">
        <v>566</v>
      </c>
      <c r="D88" t="s">
        <v>13</v>
      </c>
      <c r="E88">
        <v>5510</v>
      </c>
      <c r="F88" t="s">
        <v>21</v>
      </c>
      <c r="G88">
        <v>112</v>
      </c>
      <c r="H88" t="s">
        <v>30</v>
      </c>
      <c r="I88">
        <v>2012</v>
      </c>
      <c r="J88">
        <v>2012</v>
      </c>
      <c r="K88" t="s">
        <v>22</v>
      </c>
      <c r="L88" s="4">
        <v>8694900</v>
      </c>
      <c r="M88" t="s">
        <v>17</v>
      </c>
      <c r="N88" t="s">
        <v>18</v>
      </c>
    </row>
    <row r="89" spans="1:14" hidden="1" x14ac:dyDescent="0.35">
      <c r="A89" t="s">
        <v>11</v>
      </c>
      <c r="B89" t="s">
        <v>12</v>
      </c>
      <c r="C89">
        <v>566</v>
      </c>
      <c r="D89" t="s">
        <v>13</v>
      </c>
      <c r="E89">
        <v>5312</v>
      </c>
      <c r="F89" t="s">
        <v>14</v>
      </c>
      <c r="G89">
        <v>112</v>
      </c>
      <c r="H89" t="s">
        <v>30</v>
      </c>
      <c r="I89">
        <v>2013</v>
      </c>
      <c r="J89">
        <v>2013</v>
      </c>
      <c r="K89" t="s">
        <v>16</v>
      </c>
      <c r="L89" s="4">
        <v>5762700</v>
      </c>
      <c r="M89" t="s">
        <v>17</v>
      </c>
      <c r="N89" t="s">
        <v>18</v>
      </c>
    </row>
    <row r="90" spans="1:14" x14ac:dyDescent="0.35">
      <c r="A90" t="s">
        <v>11</v>
      </c>
      <c r="B90" t="s">
        <v>12</v>
      </c>
      <c r="C90">
        <v>566</v>
      </c>
      <c r="D90" t="s">
        <v>13</v>
      </c>
      <c r="E90">
        <v>5412</v>
      </c>
      <c r="F90" t="s">
        <v>19</v>
      </c>
      <c r="G90">
        <v>112</v>
      </c>
      <c r="H90" t="s">
        <v>30</v>
      </c>
      <c r="I90">
        <v>2013</v>
      </c>
      <c r="J90">
        <v>2013</v>
      </c>
      <c r="K90" t="s">
        <v>20</v>
      </c>
      <c r="L90" s="4">
        <v>1461.6</v>
      </c>
      <c r="M90" t="s">
        <v>17</v>
      </c>
      <c r="N90" t="s">
        <v>18</v>
      </c>
    </row>
    <row r="91" spans="1:14" hidden="1" x14ac:dyDescent="0.35">
      <c r="A91" t="s">
        <v>11</v>
      </c>
      <c r="B91" t="s">
        <v>12</v>
      </c>
      <c r="C91">
        <v>566</v>
      </c>
      <c r="D91" t="s">
        <v>13</v>
      </c>
      <c r="E91">
        <v>5510</v>
      </c>
      <c r="F91" t="s">
        <v>21</v>
      </c>
      <c r="G91">
        <v>112</v>
      </c>
      <c r="H91" t="s">
        <v>30</v>
      </c>
      <c r="I91">
        <v>2013</v>
      </c>
      <c r="J91">
        <v>2013</v>
      </c>
      <c r="K91" t="s">
        <v>22</v>
      </c>
      <c r="L91" s="4">
        <v>8422670</v>
      </c>
      <c r="M91" t="s">
        <v>17</v>
      </c>
      <c r="N91" t="s">
        <v>18</v>
      </c>
    </row>
    <row r="92" spans="1:14" hidden="1" x14ac:dyDescent="0.35">
      <c r="A92" t="s">
        <v>11</v>
      </c>
      <c r="B92" t="s">
        <v>12</v>
      </c>
      <c r="C92">
        <v>566</v>
      </c>
      <c r="D92" t="s">
        <v>13</v>
      </c>
      <c r="E92">
        <v>5312</v>
      </c>
      <c r="F92" t="s">
        <v>14</v>
      </c>
      <c r="G92">
        <v>112</v>
      </c>
      <c r="H92" t="s">
        <v>30</v>
      </c>
      <c r="I92">
        <v>2014</v>
      </c>
      <c r="J92">
        <v>2014</v>
      </c>
      <c r="K92" t="s">
        <v>16</v>
      </c>
      <c r="L92" s="4">
        <v>6346551</v>
      </c>
      <c r="M92" t="s">
        <v>17</v>
      </c>
      <c r="N92" t="s">
        <v>18</v>
      </c>
    </row>
    <row r="93" spans="1:14" x14ac:dyDescent="0.35">
      <c r="A93" t="s">
        <v>11</v>
      </c>
      <c r="B93" t="s">
        <v>12</v>
      </c>
      <c r="C93">
        <v>566</v>
      </c>
      <c r="D93" t="s">
        <v>13</v>
      </c>
      <c r="E93">
        <v>5412</v>
      </c>
      <c r="F93" t="s">
        <v>19</v>
      </c>
      <c r="G93">
        <v>112</v>
      </c>
      <c r="H93" t="s">
        <v>30</v>
      </c>
      <c r="I93">
        <v>2014</v>
      </c>
      <c r="J93">
        <v>2014</v>
      </c>
      <c r="K93" t="s">
        <v>20</v>
      </c>
      <c r="L93" s="4">
        <v>1700.2</v>
      </c>
      <c r="M93" t="s">
        <v>17</v>
      </c>
      <c r="N93" t="s">
        <v>18</v>
      </c>
    </row>
    <row r="94" spans="1:14" hidden="1" x14ac:dyDescent="0.35">
      <c r="A94" t="s">
        <v>11</v>
      </c>
      <c r="B94" t="s">
        <v>12</v>
      </c>
      <c r="C94">
        <v>566</v>
      </c>
      <c r="D94" t="s">
        <v>13</v>
      </c>
      <c r="E94">
        <v>5510</v>
      </c>
      <c r="F94" t="s">
        <v>21</v>
      </c>
      <c r="G94">
        <v>112</v>
      </c>
      <c r="H94" t="s">
        <v>30</v>
      </c>
      <c r="I94">
        <v>2014</v>
      </c>
      <c r="J94">
        <v>2014</v>
      </c>
      <c r="K94" t="s">
        <v>22</v>
      </c>
      <c r="L94" s="4">
        <v>10790600</v>
      </c>
      <c r="M94" t="s">
        <v>17</v>
      </c>
      <c r="N94" t="s">
        <v>18</v>
      </c>
    </row>
    <row r="95" spans="1:14" hidden="1" x14ac:dyDescent="0.35">
      <c r="A95" t="s">
        <v>11</v>
      </c>
      <c r="B95" t="s">
        <v>12</v>
      </c>
      <c r="C95">
        <v>566</v>
      </c>
      <c r="D95" t="s">
        <v>13</v>
      </c>
      <c r="E95">
        <v>5312</v>
      </c>
      <c r="F95" t="s">
        <v>14</v>
      </c>
      <c r="G95">
        <v>112</v>
      </c>
      <c r="H95" t="s">
        <v>30</v>
      </c>
      <c r="I95">
        <v>2015</v>
      </c>
      <c r="J95">
        <v>2015</v>
      </c>
      <c r="K95" t="s">
        <v>16</v>
      </c>
      <c r="L95" s="4">
        <v>5550360</v>
      </c>
      <c r="M95" t="s">
        <v>17</v>
      </c>
      <c r="N95" t="s">
        <v>18</v>
      </c>
    </row>
    <row r="96" spans="1:14" x14ac:dyDescent="0.35">
      <c r="A96" t="s">
        <v>11</v>
      </c>
      <c r="B96" t="s">
        <v>12</v>
      </c>
      <c r="C96">
        <v>566</v>
      </c>
      <c r="D96" t="s">
        <v>13</v>
      </c>
      <c r="E96">
        <v>5412</v>
      </c>
      <c r="F96" t="s">
        <v>19</v>
      </c>
      <c r="G96">
        <v>112</v>
      </c>
      <c r="H96" t="s">
        <v>30</v>
      </c>
      <c r="I96">
        <v>2015</v>
      </c>
      <c r="J96">
        <v>2015</v>
      </c>
      <c r="K96" t="s">
        <v>20</v>
      </c>
      <c r="L96" s="4">
        <v>1718.8</v>
      </c>
      <c r="M96" t="s">
        <v>17</v>
      </c>
      <c r="N96" t="s">
        <v>18</v>
      </c>
    </row>
    <row r="97" spans="1:14" hidden="1" x14ac:dyDescent="0.35">
      <c r="A97" t="s">
        <v>11</v>
      </c>
      <c r="B97" t="s">
        <v>12</v>
      </c>
      <c r="C97">
        <v>566</v>
      </c>
      <c r="D97" t="s">
        <v>13</v>
      </c>
      <c r="E97">
        <v>5510</v>
      </c>
      <c r="F97" t="s">
        <v>21</v>
      </c>
      <c r="G97">
        <v>112</v>
      </c>
      <c r="H97" t="s">
        <v>30</v>
      </c>
      <c r="I97">
        <v>2015</v>
      </c>
      <c r="J97">
        <v>2015</v>
      </c>
      <c r="K97" t="s">
        <v>22</v>
      </c>
      <c r="L97" s="4">
        <v>9540190</v>
      </c>
      <c r="M97" t="s">
        <v>17</v>
      </c>
      <c r="N97" t="s">
        <v>18</v>
      </c>
    </row>
    <row r="98" spans="1:14" hidden="1" x14ac:dyDescent="0.35">
      <c r="A98" t="s">
        <v>11</v>
      </c>
      <c r="B98" t="s">
        <v>12</v>
      </c>
      <c r="C98">
        <v>566</v>
      </c>
      <c r="D98" t="s">
        <v>13</v>
      </c>
      <c r="E98">
        <v>5312</v>
      </c>
      <c r="F98" t="s">
        <v>14</v>
      </c>
      <c r="G98">
        <v>112</v>
      </c>
      <c r="H98" t="s">
        <v>30</v>
      </c>
      <c r="I98">
        <v>2016</v>
      </c>
      <c r="J98">
        <v>2016</v>
      </c>
      <c r="K98" t="s">
        <v>16</v>
      </c>
      <c r="L98" s="4">
        <v>5904906</v>
      </c>
      <c r="M98" t="s">
        <v>17</v>
      </c>
      <c r="N98" t="s">
        <v>18</v>
      </c>
    </row>
    <row r="99" spans="1:14" x14ac:dyDescent="0.35">
      <c r="A99" t="s">
        <v>11</v>
      </c>
      <c r="B99" t="s">
        <v>12</v>
      </c>
      <c r="C99">
        <v>566</v>
      </c>
      <c r="D99" t="s">
        <v>13</v>
      </c>
      <c r="E99">
        <v>5412</v>
      </c>
      <c r="F99" t="s">
        <v>19</v>
      </c>
      <c r="G99">
        <v>112</v>
      </c>
      <c r="H99" t="s">
        <v>30</v>
      </c>
      <c r="I99">
        <v>2016</v>
      </c>
      <c r="J99">
        <v>2016</v>
      </c>
      <c r="K99" t="s">
        <v>20</v>
      </c>
      <c r="L99" s="4">
        <v>1783.7</v>
      </c>
      <c r="M99" t="s">
        <v>17</v>
      </c>
      <c r="N99" t="s">
        <v>18</v>
      </c>
    </row>
    <row r="100" spans="1:14" hidden="1" x14ac:dyDescent="0.35">
      <c r="A100" t="s">
        <v>11</v>
      </c>
      <c r="B100" t="s">
        <v>12</v>
      </c>
      <c r="C100">
        <v>566</v>
      </c>
      <c r="D100" t="s">
        <v>13</v>
      </c>
      <c r="E100">
        <v>5510</v>
      </c>
      <c r="F100" t="s">
        <v>21</v>
      </c>
      <c r="G100">
        <v>112</v>
      </c>
      <c r="H100" t="s">
        <v>30</v>
      </c>
      <c r="I100">
        <v>2016</v>
      </c>
      <c r="J100">
        <v>2016</v>
      </c>
      <c r="K100" t="s">
        <v>22</v>
      </c>
      <c r="L100" s="4">
        <v>10532340</v>
      </c>
      <c r="M100" t="s">
        <v>17</v>
      </c>
      <c r="N100" t="s">
        <v>18</v>
      </c>
    </row>
    <row r="101" spans="1:14" hidden="1" x14ac:dyDescent="0.35">
      <c r="A101" t="s">
        <v>11</v>
      </c>
      <c r="B101" t="s">
        <v>12</v>
      </c>
      <c r="C101">
        <v>566</v>
      </c>
      <c r="D101" t="s">
        <v>13</v>
      </c>
      <c r="E101">
        <v>5312</v>
      </c>
      <c r="F101" t="s">
        <v>14</v>
      </c>
      <c r="G101">
        <v>112</v>
      </c>
      <c r="H101" t="s">
        <v>30</v>
      </c>
      <c r="I101">
        <v>2017</v>
      </c>
      <c r="J101">
        <v>2017</v>
      </c>
      <c r="K101" t="s">
        <v>16</v>
      </c>
      <c r="L101" s="4">
        <v>6389296</v>
      </c>
      <c r="M101" t="s">
        <v>17</v>
      </c>
      <c r="N101" t="s">
        <v>18</v>
      </c>
    </row>
    <row r="102" spans="1:14" x14ac:dyDescent="0.35">
      <c r="A102" t="s">
        <v>11</v>
      </c>
      <c r="B102" t="s">
        <v>12</v>
      </c>
      <c r="C102">
        <v>566</v>
      </c>
      <c r="D102" t="s">
        <v>13</v>
      </c>
      <c r="E102">
        <v>5412</v>
      </c>
      <c r="F102" t="s">
        <v>19</v>
      </c>
      <c r="G102">
        <v>112</v>
      </c>
      <c r="H102" t="s">
        <v>30</v>
      </c>
      <c r="I102">
        <v>2017</v>
      </c>
      <c r="J102">
        <v>2017</v>
      </c>
      <c r="K102" t="s">
        <v>20</v>
      </c>
      <c r="L102" s="4">
        <v>1664.1</v>
      </c>
      <c r="M102" t="s">
        <v>17</v>
      </c>
      <c r="N102" t="s">
        <v>18</v>
      </c>
    </row>
    <row r="103" spans="1:14" hidden="1" x14ac:dyDescent="0.35">
      <c r="A103" t="s">
        <v>11</v>
      </c>
      <c r="B103" t="s">
        <v>12</v>
      </c>
      <c r="C103">
        <v>566</v>
      </c>
      <c r="D103" t="s">
        <v>13</v>
      </c>
      <c r="E103">
        <v>5510</v>
      </c>
      <c r="F103" t="s">
        <v>21</v>
      </c>
      <c r="G103">
        <v>112</v>
      </c>
      <c r="H103" t="s">
        <v>30</v>
      </c>
      <c r="I103">
        <v>2017</v>
      </c>
      <c r="J103">
        <v>2017</v>
      </c>
      <c r="K103" t="s">
        <v>22</v>
      </c>
      <c r="L103" s="4">
        <v>10632299</v>
      </c>
      <c r="M103" t="s">
        <v>17</v>
      </c>
      <c r="N103" t="s">
        <v>18</v>
      </c>
    </row>
    <row r="104" spans="1:14" hidden="1" x14ac:dyDescent="0.35">
      <c r="A104" t="s">
        <v>11</v>
      </c>
      <c r="B104" t="s">
        <v>12</v>
      </c>
      <c r="C104">
        <v>566</v>
      </c>
      <c r="D104" t="s">
        <v>13</v>
      </c>
      <c r="E104">
        <v>5312</v>
      </c>
      <c r="F104" t="s">
        <v>14</v>
      </c>
      <c r="G104">
        <v>112</v>
      </c>
      <c r="H104" t="s">
        <v>30</v>
      </c>
      <c r="I104">
        <v>2018</v>
      </c>
      <c r="J104">
        <v>2018</v>
      </c>
      <c r="K104" t="s">
        <v>16</v>
      </c>
      <c r="L104" s="4">
        <v>6541183</v>
      </c>
      <c r="M104" t="s">
        <v>17</v>
      </c>
      <c r="N104" t="s">
        <v>18</v>
      </c>
    </row>
    <row r="105" spans="1:14" x14ac:dyDescent="0.35">
      <c r="A105" t="s">
        <v>11</v>
      </c>
      <c r="B105" t="s">
        <v>12</v>
      </c>
      <c r="C105">
        <v>566</v>
      </c>
      <c r="D105" t="s">
        <v>13</v>
      </c>
      <c r="E105">
        <v>5412</v>
      </c>
      <c r="F105" t="s">
        <v>19</v>
      </c>
      <c r="G105">
        <v>112</v>
      </c>
      <c r="H105" t="s">
        <v>30</v>
      </c>
      <c r="I105">
        <v>2018</v>
      </c>
      <c r="J105">
        <v>2018</v>
      </c>
      <c r="K105" t="s">
        <v>20</v>
      </c>
      <c r="L105" s="4">
        <v>1671.6</v>
      </c>
      <c r="M105" t="s">
        <v>17</v>
      </c>
      <c r="N105" t="s">
        <v>18</v>
      </c>
    </row>
    <row r="106" spans="1:14" hidden="1" x14ac:dyDescent="0.35">
      <c r="A106" t="s">
        <v>11</v>
      </c>
      <c r="B106" t="s">
        <v>12</v>
      </c>
      <c r="C106">
        <v>566</v>
      </c>
      <c r="D106" t="s">
        <v>13</v>
      </c>
      <c r="E106">
        <v>5510</v>
      </c>
      <c r="F106" t="s">
        <v>21</v>
      </c>
      <c r="G106">
        <v>112</v>
      </c>
      <c r="H106" t="s">
        <v>30</v>
      </c>
      <c r="I106">
        <v>2018</v>
      </c>
      <c r="J106">
        <v>2018</v>
      </c>
      <c r="K106" t="s">
        <v>22</v>
      </c>
      <c r="L106" s="4">
        <v>10934149</v>
      </c>
      <c r="M106" t="s">
        <v>17</v>
      </c>
      <c r="N106" t="s">
        <v>18</v>
      </c>
    </row>
    <row r="107" spans="1:14" hidden="1" x14ac:dyDescent="0.35">
      <c r="A107" t="s">
        <v>11</v>
      </c>
      <c r="B107" t="s">
        <v>12</v>
      </c>
      <c r="C107">
        <v>566</v>
      </c>
      <c r="D107" t="s">
        <v>13</v>
      </c>
      <c r="E107">
        <v>5312</v>
      </c>
      <c r="F107" t="s">
        <v>14</v>
      </c>
      <c r="G107">
        <v>112</v>
      </c>
      <c r="H107" t="s">
        <v>30</v>
      </c>
      <c r="I107">
        <v>2019</v>
      </c>
      <c r="J107">
        <v>2019</v>
      </c>
      <c r="K107" t="s">
        <v>16</v>
      </c>
      <c r="L107" s="4">
        <v>6783924</v>
      </c>
      <c r="M107" t="s">
        <v>23</v>
      </c>
      <c r="N107" t="s">
        <v>24</v>
      </c>
    </row>
    <row r="108" spans="1:14" x14ac:dyDescent="0.35">
      <c r="A108" t="s">
        <v>11</v>
      </c>
      <c r="B108" t="s">
        <v>12</v>
      </c>
      <c r="C108">
        <v>566</v>
      </c>
      <c r="D108" t="s">
        <v>13</v>
      </c>
      <c r="E108">
        <v>5412</v>
      </c>
      <c r="F108" t="s">
        <v>19</v>
      </c>
      <c r="G108">
        <v>112</v>
      </c>
      <c r="H108" t="s">
        <v>30</v>
      </c>
      <c r="I108">
        <v>2019</v>
      </c>
      <c r="J108">
        <v>2019</v>
      </c>
      <c r="K108" t="s">
        <v>20</v>
      </c>
      <c r="L108" s="4">
        <v>1857.2</v>
      </c>
      <c r="M108" t="s">
        <v>25</v>
      </c>
      <c r="N108" t="s">
        <v>26</v>
      </c>
    </row>
    <row r="109" spans="1:14" hidden="1" x14ac:dyDescent="0.35">
      <c r="A109" t="s">
        <v>11</v>
      </c>
      <c r="B109" t="s">
        <v>12</v>
      </c>
      <c r="C109">
        <v>566</v>
      </c>
      <c r="D109" t="s">
        <v>13</v>
      </c>
      <c r="E109">
        <v>5510</v>
      </c>
      <c r="F109" t="s">
        <v>21</v>
      </c>
      <c r="G109">
        <v>112</v>
      </c>
      <c r="H109" t="s">
        <v>30</v>
      </c>
      <c r="I109">
        <v>2019</v>
      </c>
      <c r="J109">
        <v>2019</v>
      </c>
      <c r="K109" t="s">
        <v>22</v>
      </c>
      <c r="L109" s="4">
        <v>12598945</v>
      </c>
      <c r="M109" t="s">
        <v>17</v>
      </c>
      <c r="N109" t="s">
        <v>18</v>
      </c>
    </row>
    <row r="110" spans="1:14" hidden="1" x14ac:dyDescent="0.35">
      <c r="A110" t="s">
        <v>11</v>
      </c>
      <c r="B110" t="s">
        <v>12</v>
      </c>
      <c r="C110">
        <v>566</v>
      </c>
      <c r="D110" t="s">
        <v>13</v>
      </c>
      <c r="E110">
        <v>5312</v>
      </c>
      <c r="F110" t="s">
        <v>14</v>
      </c>
      <c r="G110">
        <v>112</v>
      </c>
      <c r="H110" t="s">
        <v>30</v>
      </c>
      <c r="I110">
        <v>2020</v>
      </c>
      <c r="J110">
        <v>2020</v>
      </c>
      <c r="K110" t="s">
        <v>16</v>
      </c>
      <c r="L110" s="4">
        <v>6048600</v>
      </c>
      <c r="M110" t="s">
        <v>17</v>
      </c>
      <c r="N110" t="s">
        <v>18</v>
      </c>
    </row>
    <row r="111" spans="1:14" x14ac:dyDescent="0.35">
      <c r="A111" t="s">
        <v>11</v>
      </c>
      <c r="B111" t="s">
        <v>12</v>
      </c>
      <c r="C111">
        <v>566</v>
      </c>
      <c r="D111" t="s">
        <v>13</v>
      </c>
      <c r="E111">
        <v>5412</v>
      </c>
      <c r="F111" t="s">
        <v>19</v>
      </c>
      <c r="G111">
        <v>112</v>
      </c>
      <c r="H111" t="s">
        <v>30</v>
      </c>
      <c r="I111">
        <v>2020</v>
      </c>
      <c r="J111">
        <v>2020</v>
      </c>
      <c r="K111" t="s">
        <v>20</v>
      </c>
      <c r="L111" s="4">
        <v>2050.6</v>
      </c>
      <c r="M111" t="s">
        <v>17</v>
      </c>
      <c r="N111" t="s">
        <v>18</v>
      </c>
    </row>
    <row r="112" spans="1:14" hidden="1" x14ac:dyDescent="0.35">
      <c r="A112" t="s">
        <v>11</v>
      </c>
      <c r="B112" t="s">
        <v>12</v>
      </c>
      <c r="C112">
        <v>566</v>
      </c>
      <c r="D112" t="s">
        <v>13</v>
      </c>
      <c r="E112">
        <v>5510</v>
      </c>
      <c r="F112" t="s">
        <v>21</v>
      </c>
      <c r="G112">
        <v>112</v>
      </c>
      <c r="H112" t="s">
        <v>30</v>
      </c>
      <c r="I112">
        <v>2020</v>
      </c>
      <c r="J112">
        <v>2020</v>
      </c>
      <c r="K112" t="s">
        <v>22</v>
      </c>
      <c r="L112" s="4">
        <v>12403300</v>
      </c>
      <c r="M112" t="s">
        <v>17</v>
      </c>
      <c r="N112" t="s">
        <v>18</v>
      </c>
    </row>
    <row r="113" spans="1:14" hidden="1" x14ac:dyDescent="0.35">
      <c r="A113" t="s">
        <v>11</v>
      </c>
      <c r="B113" t="s">
        <v>12</v>
      </c>
      <c r="C113">
        <v>566</v>
      </c>
      <c r="D113" t="s">
        <v>13</v>
      </c>
      <c r="E113">
        <v>5312</v>
      </c>
      <c r="F113" t="s">
        <v>14</v>
      </c>
      <c r="G113">
        <v>112</v>
      </c>
      <c r="H113" t="s">
        <v>30</v>
      </c>
      <c r="I113">
        <v>2021</v>
      </c>
      <c r="J113">
        <v>2021</v>
      </c>
      <c r="K113" t="s">
        <v>16</v>
      </c>
      <c r="L113" s="4">
        <v>6205280</v>
      </c>
      <c r="M113" t="s">
        <v>17</v>
      </c>
      <c r="N113" t="s">
        <v>18</v>
      </c>
    </row>
    <row r="114" spans="1:14" x14ac:dyDescent="0.35">
      <c r="A114" t="s">
        <v>11</v>
      </c>
      <c r="B114" t="s">
        <v>12</v>
      </c>
      <c r="C114">
        <v>566</v>
      </c>
      <c r="D114" t="s">
        <v>13</v>
      </c>
      <c r="E114">
        <v>5412</v>
      </c>
      <c r="F114" t="s">
        <v>19</v>
      </c>
      <c r="G114">
        <v>112</v>
      </c>
      <c r="H114" t="s">
        <v>30</v>
      </c>
      <c r="I114">
        <v>2021</v>
      </c>
      <c r="J114">
        <v>2021</v>
      </c>
      <c r="K114" t="s">
        <v>20</v>
      </c>
      <c r="L114" s="4">
        <v>2053.8000000000002</v>
      </c>
      <c r="M114" t="s">
        <v>17</v>
      </c>
      <c r="N114" t="s">
        <v>18</v>
      </c>
    </row>
    <row r="115" spans="1:14" hidden="1" x14ac:dyDescent="0.35">
      <c r="A115" t="s">
        <v>11</v>
      </c>
      <c r="B115" t="s">
        <v>12</v>
      </c>
      <c r="C115">
        <v>566</v>
      </c>
      <c r="D115" t="s">
        <v>13</v>
      </c>
      <c r="E115">
        <v>5510</v>
      </c>
      <c r="F115" t="s">
        <v>21</v>
      </c>
      <c r="G115">
        <v>112</v>
      </c>
      <c r="H115" t="s">
        <v>30</v>
      </c>
      <c r="I115">
        <v>2021</v>
      </c>
      <c r="J115">
        <v>2021</v>
      </c>
      <c r="K115" t="s">
        <v>22</v>
      </c>
      <c r="L115" s="4">
        <v>12744450</v>
      </c>
      <c r="M115" t="s">
        <v>17</v>
      </c>
      <c r="N115" t="s">
        <v>18</v>
      </c>
    </row>
    <row r="116" spans="1:14" hidden="1" x14ac:dyDescent="0.35">
      <c r="A116" t="s">
        <v>11</v>
      </c>
      <c r="B116" t="s">
        <v>12</v>
      </c>
      <c r="C116">
        <v>566</v>
      </c>
      <c r="D116" t="s">
        <v>13</v>
      </c>
      <c r="E116">
        <v>5312</v>
      </c>
      <c r="F116" t="s">
        <v>14</v>
      </c>
      <c r="G116">
        <v>112</v>
      </c>
      <c r="H116" t="s">
        <v>30</v>
      </c>
      <c r="I116">
        <v>2022</v>
      </c>
      <c r="J116">
        <v>2022</v>
      </c>
      <c r="K116" t="s">
        <v>16</v>
      </c>
      <c r="L116" s="4">
        <v>5800000</v>
      </c>
      <c r="M116" t="s">
        <v>28</v>
      </c>
      <c r="N116" t="s">
        <v>29</v>
      </c>
    </row>
    <row r="117" spans="1:14" x14ac:dyDescent="0.35">
      <c r="A117" t="s">
        <v>11</v>
      </c>
      <c r="B117" t="s">
        <v>12</v>
      </c>
      <c r="C117">
        <v>566</v>
      </c>
      <c r="D117" t="s">
        <v>13</v>
      </c>
      <c r="E117">
        <v>5412</v>
      </c>
      <c r="F117" t="s">
        <v>19</v>
      </c>
      <c r="G117">
        <v>112</v>
      </c>
      <c r="H117" t="s">
        <v>30</v>
      </c>
      <c r="I117">
        <v>2022</v>
      </c>
      <c r="J117">
        <v>2022</v>
      </c>
      <c r="K117" t="s">
        <v>20</v>
      </c>
      <c r="L117" s="4">
        <v>2232.6</v>
      </c>
      <c r="M117" t="s">
        <v>28</v>
      </c>
      <c r="N117" t="s">
        <v>29</v>
      </c>
    </row>
    <row r="118" spans="1:14" hidden="1" x14ac:dyDescent="0.35">
      <c r="A118" t="s">
        <v>11</v>
      </c>
      <c r="B118" t="s">
        <v>12</v>
      </c>
      <c r="C118">
        <v>566</v>
      </c>
      <c r="D118" t="s">
        <v>13</v>
      </c>
      <c r="E118">
        <v>5510</v>
      </c>
      <c r="F118" t="s">
        <v>21</v>
      </c>
      <c r="G118">
        <v>112</v>
      </c>
      <c r="H118" t="s">
        <v>30</v>
      </c>
      <c r="I118">
        <v>2022</v>
      </c>
      <c r="J118">
        <v>2022</v>
      </c>
      <c r="K118" t="s">
        <v>22</v>
      </c>
      <c r="L118" s="4">
        <v>12948920</v>
      </c>
      <c r="M118" t="s">
        <v>28</v>
      </c>
      <c r="N118" t="s">
        <v>29</v>
      </c>
    </row>
    <row r="119" spans="1:14" hidden="1" x14ac:dyDescent="0.35">
      <c r="A119" t="s">
        <v>11</v>
      </c>
      <c r="B119" t="s">
        <v>12</v>
      </c>
      <c r="C119">
        <v>566</v>
      </c>
      <c r="D119" t="s">
        <v>13</v>
      </c>
      <c r="E119">
        <v>5312</v>
      </c>
      <c r="F119" t="s">
        <v>14</v>
      </c>
      <c r="G119">
        <v>118</v>
      </c>
      <c r="H119" t="s">
        <v>31</v>
      </c>
      <c r="I119">
        <v>2010</v>
      </c>
      <c r="J119">
        <v>2010</v>
      </c>
      <c r="K119" t="s">
        <v>16</v>
      </c>
      <c r="L119" s="4">
        <v>4364140</v>
      </c>
      <c r="M119" t="s">
        <v>17</v>
      </c>
      <c r="N119" t="s">
        <v>18</v>
      </c>
    </row>
    <row r="120" spans="1:14" x14ac:dyDescent="0.35">
      <c r="A120" t="s">
        <v>11</v>
      </c>
      <c r="B120" t="s">
        <v>12</v>
      </c>
      <c r="C120">
        <v>566</v>
      </c>
      <c r="D120" t="s">
        <v>13</v>
      </c>
      <c r="E120">
        <v>5412</v>
      </c>
      <c r="F120" t="s">
        <v>19</v>
      </c>
      <c r="G120">
        <v>118</v>
      </c>
      <c r="H120" t="s">
        <v>31</v>
      </c>
      <c r="I120">
        <v>2010</v>
      </c>
      <c r="J120">
        <v>2010</v>
      </c>
      <c r="K120" t="s">
        <v>20</v>
      </c>
      <c r="L120" s="4">
        <v>1184.8</v>
      </c>
      <c r="M120" t="s">
        <v>17</v>
      </c>
      <c r="N120" t="s">
        <v>18</v>
      </c>
    </row>
    <row r="121" spans="1:14" hidden="1" x14ac:dyDescent="0.35">
      <c r="A121" t="s">
        <v>11</v>
      </c>
      <c r="B121" t="s">
        <v>12</v>
      </c>
      <c r="C121">
        <v>566</v>
      </c>
      <c r="D121" t="s">
        <v>13</v>
      </c>
      <c r="E121">
        <v>5510</v>
      </c>
      <c r="F121" t="s">
        <v>21</v>
      </c>
      <c r="G121">
        <v>118</v>
      </c>
      <c r="H121" t="s">
        <v>31</v>
      </c>
      <c r="I121">
        <v>2010</v>
      </c>
      <c r="J121">
        <v>2010</v>
      </c>
      <c r="K121" t="s">
        <v>22</v>
      </c>
      <c r="L121" s="4">
        <v>5170430</v>
      </c>
      <c r="M121" t="s">
        <v>17</v>
      </c>
      <c r="N121" t="s">
        <v>18</v>
      </c>
    </row>
    <row r="122" spans="1:14" hidden="1" x14ac:dyDescent="0.35">
      <c r="A122" t="s">
        <v>11</v>
      </c>
      <c r="B122" t="s">
        <v>12</v>
      </c>
      <c r="C122">
        <v>566</v>
      </c>
      <c r="D122" t="s">
        <v>13</v>
      </c>
      <c r="E122">
        <v>5312</v>
      </c>
      <c r="F122" t="s">
        <v>14</v>
      </c>
      <c r="G122">
        <v>118</v>
      </c>
      <c r="H122" t="s">
        <v>31</v>
      </c>
      <c r="I122">
        <v>2011</v>
      </c>
      <c r="J122">
        <v>2011</v>
      </c>
      <c r="K122" t="s">
        <v>16</v>
      </c>
      <c r="L122" s="4">
        <v>2827090</v>
      </c>
      <c r="M122" t="s">
        <v>17</v>
      </c>
      <c r="N122" t="s">
        <v>18</v>
      </c>
    </row>
    <row r="123" spans="1:14" x14ac:dyDescent="0.35">
      <c r="A123" t="s">
        <v>11</v>
      </c>
      <c r="B123" t="s">
        <v>12</v>
      </c>
      <c r="C123">
        <v>566</v>
      </c>
      <c r="D123" t="s">
        <v>13</v>
      </c>
      <c r="E123">
        <v>5412</v>
      </c>
      <c r="F123" t="s">
        <v>19</v>
      </c>
      <c r="G123">
        <v>118</v>
      </c>
      <c r="H123" t="s">
        <v>31</v>
      </c>
      <c r="I123">
        <v>2011</v>
      </c>
      <c r="J123">
        <v>2011</v>
      </c>
      <c r="K123" t="s">
        <v>20</v>
      </c>
      <c r="L123" s="4">
        <v>449.7</v>
      </c>
      <c r="M123" t="s">
        <v>17</v>
      </c>
      <c r="N123" t="s">
        <v>18</v>
      </c>
    </row>
    <row r="124" spans="1:14" hidden="1" x14ac:dyDescent="0.35">
      <c r="A124" t="s">
        <v>11</v>
      </c>
      <c r="B124" t="s">
        <v>12</v>
      </c>
      <c r="C124">
        <v>566</v>
      </c>
      <c r="D124" t="s">
        <v>13</v>
      </c>
      <c r="E124">
        <v>5510</v>
      </c>
      <c r="F124" t="s">
        <v>21</v>
      </c>
      <c r="G124">
        <v>118</v>
      </c>
      <c r="H124" t="s">
        <v>31</v>
      </c>
      <c r="I124">
        <v>2011</v>
      </c>
      <c r="J124">
        <v>2011</v>
      </c>
      <c r="K124" t="s">
        <v>22</v>
      </c>
      <c r="L124" s="4">
        <v>1271370</v>
      </c>
      <c r="M124" t="s">
        <v>17</v>
      </c>
      <c r="N124" t="s">
        <v>18</v>
      </c>
    </row>
    <row r="125" spans="1:14" hidden="1" x14ac:dyDescent="0.35">
      <c r="A125" t="s">
        <v>11</v>
      </c>
      <c r="B125" t="s">
        <v>12</v>
      </c>
      <c r="C125">
        <v>566</v>
      </c>
      <c r="D125" t="s">
        <v>13</v>
      </c>
      <c r="E125">
        <v>5312</v>
      </c>
      <c r="F125" t="s">
        <v>14</v>
      </c>
      <c r="G125">
        <v>118</v>
      </c>
      <c r="H125" t="s">
        <v>31</v>
      </c>
      <c r="I125">
        <v>2012</v>
      </c>
      <c r="J125">
        <v>2012</v>
      </c>
      <c r="K125" t="s">
        <v>16</v>
      </c>
      <c r="L125" s="4">
        <v>1328200</v>
      </c>
      <c r="M125" t="s">
        <v>17</v>
      </c>
      <c r="N125" t="s">
        <v>18</v>
      </c>
    </row>
    <row r="126" spans="1:14" x14ac:dyDescent="0.35">
      <c r="A126" t="s">
        <v>11</v>
      </c>
      <c r="B126" t="s">
        <v>12</v>
      </c>
      <c r="C126">
        <v>566</v>
      </c>
      <c r="D126" t="s">
        <v>13</v>
      </c>
      <c r="E126">
        <v>5412</v>
      </c>
      <c r="F126" t="s">
        <v>19</v>
      </c>
      <c r="G126">
        <v>118</v>
      </c>
      <c r="H126" t="s">
        <v>31</v>
      </c>
      <c r="I126">
        <v>2012</v>
      </c>
      <c r="J126">
        <v>2012</v>
      </c>
      <c r="K126" t="s">
        <v>20</v>
      </c>
      <c r="L126" s="4">
        <v>964.2</v>
      </c>
      <c r="M126" t="s">
        <v>17</v>
      </c>
      <c r="N126" t="s">
        <v>18</v>
      </c>
    </row>
    <row r="127" spans="1:14" hidden="1" x14ac:dyDescent="0.35">
      <c r="A127" t="s">
        <v>11</v>
      </c>
      <c r="B127" t="s">
        <v>12</v>
      </c>
      <c r="C127">
        <v>566</v>
      </c>
      <c r="D127" t="s">
        <v>13</v>
      </c>
      <c r="E127">
        <v>5510</v>
      </c>
      <c r="F127" t="s">
        <v>21</v>
      </c>
      <c r="G127">
        <v>118</v>
      </c>
      <c r="H127" t="s">
        <v>31</v>
      </c>
      <c r="I127">
        <v>2012</v>
      </c>
      <c r="J127">
        <v>2012</v>
      </c>
      <c r="K127" t="s">
        <v>22</v>
      </c>
      <c r="L127" s="4">
        <v>1280700</v>
      </c>
      <c r="M127" t="s">
        <v>17</v>
      </c>
      <c r="N127" t="s">
        <v>18</v>
      </c>
    </row>
    <row r="128" spans="1:14" hidden="1" x14ac:dyDescent="0.35">
      <c r="A128" t="s">
        <v>11</v>
      </c>
      <c r="B128" t="s">
        <v>12</v>
      </c>
      <c r="C128">
        <v>566</v>
      </c>
      <c r="D128" t="s">
        <v>13</v>
      </c>
      <c r="E128">
        <v>5312</v>
      </c>
      <c r="F128" t="s">
        <v>14</v>
      </c>
      <c r="G128">
        <v>118</v>
      </c>
      <c r="H128" t="s">
        <v>31</v>
      </c>
      <c r="I128">
        <v>2013</v>
      </c>
      <c r="J128">
        <v>2013</v>
      </c>
      <c r="K128" t="s">
        <v>16</v>
      </c>
      <c r="L128" s="4">
        <v>1485200</v>
      </c>
      <c r="M128" t="s">
        <v>17</v>
      </c>
      <c r="N128" t="s">
        <v>18</v>
      </c>
    </row>
    <row r="129" spans="1:14" x14ac:dyDescent="0.35">
      <c r="A129" t="s">
        <v>11</v>
      </c>
      <c r="B129" t="s">
        <v>12</v>
      </c>
      <c r="C129">
        <v>566</v>
      </c>
      <c r="D129" t="s">
        <v>13</v>
      </c>
      <c r="E129">
        <v>5412</v>
      </c>
      <c r="F129" t="s">
        <v>19</v>
      </c>
      <c r="G129">
        <v>118</v>
      </c>
      <c r="H129" t="s">
        <v>31</v>
      </c>
      <c r="I129">
        <v>2013</v>
      </c>
      <c r="J129">
        <v>2013</v>
      </c>
      <c r="K129" t="s">
        <v>20</v>
      </c>
      <c r="L129" s="4">
        <v>612.4</v>
      </c>
      <c r="M129" t="s">
        <v>17</v>
      </c>
      <c r="N129" t="s">
        <v>18</v>
      </c>
    </row>
    <row r="130" spans="1:14" hidden="1" x14ac:dyDescent="0.35">
      <c r="A130" t="s">
        <v>11</v>
      </c>
      <c r="B130" t="s">
        <v>12</v>
      </c>
      <c r="C130">
        <v>566</v>
      </c>
      <c r="D130" t="s">
        <v>13</v>
      </c>
      <c r="E130">
        <v>5510</v>
      </c>
      <c r="F130" t="s">
        <v>21</v>
      </c>
      <c r="G130">
        <v>118</v>
      </c>
      <c r="H130" t="s">
        <v>31</v>
      </c>
      <c r="I130">
        <v>2013</v>
      </c>
      <c r="J130">
        <v>2013</v>
      </c>
      <c r="K130" t="s">
        <v>22</v>
      </c>
      <c r="L130" s="4">
        <v>909560</v>
      </c>
      <c r="M130" t="s">
        <v>17</v>
      </c>
      <c r="N130" t="s">
        <v>18</v>
      </c>
    </row>
    <row r="131" spans="1:14" hidden="1" x14ac:dyDescent="0.35">
      <c r="A131" t="s">
        <v>11</v>
      </c>
      <c r="B131" t="s">
        <v>12</v>
      </c>
      <c r="C131">
        <v>566</v>
      </c>
      <c r="D131" t="s">
        <v>13</v>
      </c>
      <c r="E131">
        <v>5312</v>
      </c>
      <c r="F131" t="s">
        <v>14</v>
      </c>
      <c r="G131">
        <v>118</v>
      </c>
      <c r="H131" t="s">
        <v>31</v>
      </c>
      <c r="I131">
        <v>2014</v>
      </c>
      <c r="J131">
        <v>2014</v>
      </c>
      <c r="K131" t="s">
        <v>16</v>
      </c>
      <c r="L131" s="4">
        <v>1574400</v>
      </c>
      <c r="M131" t="s">
        <v>17</v>
      </c>
      <c r="N131" t="s">
        <v>18</v>
      </c>
    </row>
    <row r="132" spans="1:14" x14ac:dyDescent="0.35">
      <c r="A132" t="s">
        <v>11</v>
      </c>
      <c r="B132" t="s">
        <v>12</v>
      </c>
      <c r="C132">
        <v>566</v>
      </c>
      <c r="D132" t="s">
        <v>13</v>
      </c>
      <c r="E132">
        <v>5412</v>
      </c>
      <c r="F132" t="s">
        <v>19</v>
      </c>
      <c r="G132">
        <v>118</v>
      </c>
      <c r="H132" t="s">
        <v>31</v>
      </c>
      <c r="I132">
        <v>2014</v>
      </c>
      <c r="J132">
        <v>2014</v>
      </c>
      <c r="K132" t="s">
        <v>20</v>
      </c>
      <c r="L132" s="4">
        <v>1172.5999999999999</v>
      </c>
      <c r="M132" t="s">
        <v>17</v>
      </c>
      <c r="N132" t="s">
        <v>18</v>
      </c>
    </row>
    <row r="133" spans="1:14" hidden="1" x14ac:dyDescent="0.35">
      <c r="A133" t="s">
        <v>11</v>
      </c>
      <c r="B133" t="s">
        <v>12</v>
      </c>
      <c r="C133">
        <v>566</v>
      </c>
      <c r="D133" t="s">
        <v>13</v>
      </c>
      <c r="E133">
        <v>5510</v>
      </c>
      <c r="F133" t="s">
        <v>21</v>
      </c>
      <c r="G133">
        <v>118</v>
      </c>
      <c r="H133" t="s">
        <v>31</v>
      </c>
      <c r="I133">
        <v>2014</v>
      </c>
      <c r="J133">
        <v>2014</v>
      </c>
      <c r="K133" t="s">
        <v>22</v>
      </c>
      <c r="L133" s="4">
        <v>1846200</v>
      </c>
      <c r="M133" t="s">
        <v>17</v>
      </c>
      <c r="N133" t="s">
        <v>18</v>
      </c>
    </row>
    <row r="134" spans="1:14" hidden="1" x14ac:dyDescent="0.35">
      <c r="A134" t="s">
        <v>11</v>
      </c>
      <c r="B134" t="s">
        <v>12</v>
      </c>
      <c r="C134">
        <v>566</v>
      </c>
      <c r="D134" t="s">
        <v>13</v>
      </c>
      <c r="E134">
        <v>5312</v>
      </c>
      <c r="F134" t="s">
        <v>14</v>
      </c>
      <c r="G134">
        <v>118</v>
      </c>
      <c r="H134" t="s">
        <v>31</v>
      </c>
      <c r="I134">
        <v>2015</v>
      </c>
      <c r="J134">
        <v>2015</v>
      </c>
      <c r="K134" t="s">
        <v>16</v>
      </c>
      <c r="L134" s="4">
        <v>1742803</v>
      </c>
      <c r="M134" t="s">
        <v>17</v>
      </c>
      <c r="N134" t="s">
        <v>18</v>
      </c>
    </row>
    <row r="135" spans="1:14" x14ac:dyDescent="0.35">
      <c r="A135" t="s">
        <v>11</v>
      </c>
      <c r="B135" t="s">
        <v>12</v>
      </c>
      <c r="C135">
        <v>566</v>
      </c>
      <c r="D135" t="s">
        <v>13</v>
      </c>
      <c r="E135">
        <v>5412</v>
      </c>
      <c r="F135" t="s">
        <v>19</v>
      </c>
      <c r="G135">
        <v>118</v>
      </c>
      <c r="H135" t="s">
        <v>31</v>
      </c>
      <c r="I135">
        <v>2015</v>
      </c>
      <c r="J135">
        <v>2015</v>
      </c>
      <c r="K135" t="s">
        <v>20</v>
      </c>
      <c r="L135" s="4">
        <v>1037.3</v>
      </c>
      <c r="M135" t="s">
        <v>17</v>
      </c>
      <c r="N135" t="s">
        <v>18</v>
      </c>
    </row>
    <row r="136" spans="1:14" hidden="1" x14ac:dyDescent="0.35">
      <c r="A136" t="s">
        <v>11</v>
      </c>
      <c r="B136" t="s">
        <v>12</v>
      </c>
      <c r="C136">
        <v>566</v>
      </c>
      <c r="D136" t="s">
        <v>13</v>
      </c>
      <c r="E136">
        <v>5510</v>
      </c>
      <c r="F136" t="s">
        <v>21</v>
      </c>
      <c r="G136">
        <v>118</v>
      </c>
      <c r="H136" t="s">
        <v>31</v>
      </c>
      <c r="I136">
        <v>2015</v>
      </c>
      <c r="J136">
        <v>2015</v>
      </c>
      <c r="K136" t="s">
        <v>22</v>
      </c>
      <c r="L136" s="4">
        <v>1807810</v>
      </c>
      <c r="M136" t="s">
        <v>17</v>
      </c>
      <c r="N136" t="s">
        <v>18</v>
      </c>
    </row>
    <row r="137" spans="1:14" hidden="1" x14ac:dyDescent="0.35">
      <c r="A137" t="s">
        <v>11</v>
      </c>
      <c r="B137" t="s">
        <v>12</v>
      </c>
      <c r="C137">
        <v>566</v>
      </c>
      <c r="D137" t="s">
        <v>13</v>
      </c>
      <c r="E137">
        <v>5312</v>
      </c>
      <c r="F137" t="s">
        <v>14</v>
      </c>
      <c r="G137">
        <v>118</v>
      </c>
      <c r="H137" t="s">
        <v>31</v>
      </c>
      <c r="I137">
        <v>2016</v>
      </c>
      <c r="J137">
        <v>2016</v>
      </c>
      <c r="K137" t="s">
        <v>16</v>
      </c>
      <c r="L137" s="4">
        <v>1737830</v>
      </c>
      <c r="M137" t="s">
        <v>17</v>
      </c>
      <c r="N137" t="s">
        <v>18</v>
      </c>
    </row>
    <row r="138" spans="1:14" x14ac:dyDescent="0.35">
      <c r="A138" t="s">
        <v>11</v>
      </c>
      <c r="B138" t="s">
        <v>12</v>
      </c>
      <c r="C138">
        <v>566</v>
      </c>
      <c r="D138" t="s">
        <v>13</v>
      </c>
      <c r="E138">
        <v>5412</v>
      </c>
      <c r="F138" t="s">
        <v>19</v>
      </c>
      <c r="G138">
        <v>118</v>
      </c>
      <c r="H138" t="s">
        <v>31</v>
      </c>
      <c r="I138">
        <v>2016</v>
      </c>
      <c r="J138">
        <v>2016</v>
      </c>
      <c r="K138" t="s">
        <v>20</v>
      </c>
      <c r="L138" s="4">
        <v>855.8</v>
      </c>
      <c r="M138" t="s">
        <v>17</v>
      </c>
      <c r="N138" t="s">
        <v>18</v>
      </c>
    </row>
    <row r="139" spans="1:14" hidden="1" x14ac:dyDescent="0.35">
      <c r="A139" t="s">
        <v>11</v>
      </c>
      <c r="B139" t="s">
        <v>12</v>
      </c>
      <c r="C139">
        <v>566</v>
      </c>
      <c r="D139" t="s">
        <v>13</v>
      </c>
      <c r="E139">
        <v>5510</v>
      </c>
      <c r="F139" t="s">
        <v>21</v>
      </c>
      <c r="G139">
        <v>118</v>
      </c>
      <c r="H139" t="s">
        <v>31</v>
      </c>
      <c r="I139">
        <v>2016</v>
      </c>
      <c r="J139">
        <v>2016</v>
      </c>
      <c r="K139" t="s">
        <v>22</v>
      </c>
      <c r="L139" s="4">
        <v>1487220</v>
      </c>
      <c r="M139" t="s">
        <v>17</v>
      </c>
      <c r="N139" t="s">
        <v>18</v>
      </c>
    </row>
    <row r="140" spans="1:14" hidden="1" x14ac:dyDescent="0.35">
      <c r="A140" t="s">
        <v>11</v>
      </c>
      <c r="B140" t="s">
        <v>12</v>
      </c>
      <c r="C140">
        <v>566</v>
      </c>
      <c r="D140" t="s">
        <v>13</v>
      </c>
      <c r="E140">
        <v>5312</v>
      </c>
      <c r="F140" t="s">
        <v>14</v>
      </c>
      <c r="G140">
        <v>118</v>
      </c>
      <c r="H140" t="s">
        <v>31</v>
      </c>
      <c r="I140">
        <v>2017</v>
      </c>
      <c r="J140">
        <v>2017</v>
      </c>
      <c r="K140" t="s">
        <v>16</v>
      </c>
      <c r="L140" s="4">
        <v>1800069</v>
      </c>
      <c r="M140" t="s">
        <v>17</v>
      </c>
      <c r="N140" t="s">
        <v>18</v>
      </c>
    </row>
    <row r="141" spans="1:14" x14ac:dyDescent="0.35">
      <c r="A141" t="s">
        <v>11</v>
      </c>
      <c r="B141" t="s">
        <v>12</v>
      </c>
      <c r="C141">
        <v>566</v>
      </c>
      <c r="D141" t="s">
        <v>13</v>
      </c>
      <c r="E141">
        <v>5412</v>
      </c>
      <c r="F141" t="s">
        <v>19</v>
      </c>
      <c r="G141">
        <v>118</v>
      </c>
      <c r="H141" t="s">
        <v>31</v>
      </c>
      <c r="I141">
        <v>2017</v>
      </c>
      <c r="J141">
        <v>2017</v>
      </c>
      <c r="K141" t="s">
        <v>20</v>
      </c>
      <c r="L141" s="4">
        <v>849</v>
      </c>
      <c r="M141" t="s">
        <v>17</v>
      </c>
      <c r="N141" t="s">
        <v>18</v>
      </c>
    </row>
    <row r="142" spans="1:14" hidden="1" x14ac:dyDescent="0.35">
      <c r="A142" t="s">
        <v>11</v>
      </c>
      <c r="B142" t="s">
        <v>12</v>
      </c>
      <c r="C142">
        <v>566</v>
      </c>
      <c r="D142" t="s">
        <v>13</v>
      </c>
      <c r="E142">
        <v>5510</v>
      </c>
      <c r="F142" t="s">
        <v>21</v>
      </c>
      <c r="G142">
        <v>118</v>
      </c>
      <c r="H142" t="s">
        <v>31</v>
      </c>
      <c r="I142">
        <v>2017</v>
      </c>
      <c r="J142">
        <v>2017</v>
      </c>
      <c r="K142" t="s">
        <v>22</v>
      </c>
      <c r="L142" s="4">
        <v>1528250</v>
      </c>
      <c r="M142" t="s">
        <v>17</v>
      </c>
      <c r="N142" t="s">
        <v>18</v>
      </c>
    </row>
    <row r="143" spans="1:14" hidden="1" x14ac:dyDescent="0.35">
      <c r="A143" t="s">
        <v>11</v>
      </c>
      <c r="B143" t="s">
        <v>12</v>
      </c>
      <c r="C143">
        <v>566</v>
      </c>
      <c r="D143" t="s">
        <v>13</v>
      </c>
      <c r="E143">
        <v>5312</v>
      </c>
      <c r="F143" t="s">
        <v>14</v>
      </c>
      <c r="G143">
        <v>118</v>
      </c>
      <c r="H143" t="s">
        <v>31</v>
      </c>
      <c r="I143">
        <v>2018</v>
      </c>
      <c r="J143">
        <v>2018</v>
      </c>
      <c r="K143" t="s">
        <v>16</v>
      </c>
      <c r="L143" s="4">
        <v>1734330</v>
      </c>
      <c r="M143" t="s">
        <v>17</v>
      </c>
      <c r="N143" t="s">
        <v>18</v>
      </c>
    </row>
    <row r="144" spans="1:14" x14ac:dyDescent="0.35">
      <c r="A144" t="s">
        <v>11</v>
      </c>
      <c r="B144" t="s">
        <v>12</v>
      </c>
      <c r="C144">
        <v>566</v>
      </c>
      <c r="D144" t="s">
        <v>13</v>
      </c>
      <c r="E144">
        <v>5412</v>
      </c>
      <c r="F144" t="s">
        <v>19</v>
      </c>
      <c r="G144">
        <v>118</v>
      </c>
      <c r="H144" t="s">
        <v>31</v>
      </c>
      <c r="I144">
        <v>2018</v>
      </c>
      <c r="J144">
        <v>2018</v>
      </c>
      <c r="K144" t="s">
        <v>20</v>
      </c>
      <c r="L144" s="4">
        <v>1083.5999999999999</v>
      </c>
      <c r="M144" t="s">
        <v>17</v>
      </c>
      <c r="N144" t="s">
        <v>18</v>
      </c>
    </row>
    <row r="145" spans="1:14" hidden="1" x14ac:dyDescent="0.35">
      <c r="A145" t="s">
        <v>11</v>
      </c>
      <c r="B145" t="s">
        <v>12</v>
      </c>
      <c r="C145">
        <v>566</v>
      </c>
      <c r="D145" t="s">
        <v>13</v>
      </c>
      <c r="E145">
        <v>5510</v>
      </c>
      <c r="F145" t="s">
        <v>21</v>
      </c>
      <c r="G145">
        <v>118</v>
      </c>
      <c r="H145" t="s">
        <v>31</v>
      </c>
      <c r="I145">
        <v>2018</v>
      </c>
      <c r="J145">
        <v>2018</v>
      </c>
      <c r="K145" t="s">
        <v>22</v>
      </c>
      <c r="L145" s="4">
        <v>1879340</v>
      </c>
      <c r="M145" t="s">
        <v>17</v>
      </c>
      <c r="N145" t="s">
        <v>18</v>
      </c>
    </row>
    <row r="146" spans="1:14" hidden="1" x14ac:dyDescent="0.35">
      <c r="A146" t="s">
        <v>11</v>
      </c>
      <c r="B146" t="s">
        <v>12</v>
      </c>
      <c r="C146">
        <v>566</v>
      </c>
      <c r="D146" t="s">
        <v>13</v>
      </c>
      <c r="E146">
        <v>5312</v>
      </c>
      <c r="F146" t="s">
        <v>14</v>
      </c>
      <c r="G146">
        <v>118</v>
      </c>
      <c r="H146" t="s">
        <v>31</v>
      </c>
      <c r="I146">
        <v>2019</v>
      </c>
      <c r="J146">
        <v>2019</v>
      </c>
      <c r="K146" t="s">
        <v>16</v>
      </c>
      <c r="L146" s="4">
        <v>1747800</v>
      </c>
      <c r="M146" t="s">
        <v>17</v>
      </c>
      <c r="N146" t="s">
        <v>18</v>
      </c>
    </row>
    <row r="147" spans="1:14" x14ac:dyDescent="0.35">
      <c r="A147" t="s">
        <v>11</v>
      </c>
      <c r="B147" t="s">
        <v>12</v>
      </c>
      <c r="C147">
        <v>566</v>
      </c>
      <c r="D147" t="s">
        <v>13</v>
      </c>
      <c r="E147">
        <v>5412</v>
      </c>
      <c r="F147" t="s">
        <v>19</v>
      </c>
      <c r="G147">
        <v>118</v>
      </c>
      <c r="H147" t="s">
        <v>31</v>
      </c>
      <c r="I147">
        <v>2019</v>
      </c>
      <c r="J147">
        <v>2019</v>
      </c>
      <c r="K147" t="s">
        <v>20</v>
      </c>
      <c r="L147" s="4">
        <v>1101.4000000000001</v>
      </c>
      <c r="M147" t="s">
        <v>17</v>
      </c>
      <c r="N147" t="s">
        <v>18</v>
      </c>
    </row>
    <row r="148" spans="1:14" hidden="1" x14ac:dyDescent="0.35">
      <c r="A148" t="s">
        <v>11</v>
      </c>
      <c r="B148" t="s">
        <v>12</v>
      </c>
      <c r="C148">
        <v>566</v>
      </c>
      <c r="D148" t="s">
        <v>13</v>
      </c>
      <c r="E148">
        <v>5510</v>
      </c>
      <c r="F148" t="s">
        <v>21</v>
      </c>
      <c r="G148">
        <v>118</v>
      </c>
      <c r="H148" t="s">
        <v>31</v>
      </c>
      <c r="I148">
        <v>2019</v>
      </c>
      <c r="J148">
        <v>2019</v>
      </c>
      <c r="K148" t="s">
        <v>22</v>
      </c>
      <c r="L148" s="4">
        <v>1925075</v>
      </c>
      <c r="M148" t="s">
        <v>17</v>
      </c>
      <c r="N148" t="s">
        <v>18</v>
      </c>
    </row>
    <row r="149" spans="1:14" hidden="1" x14ac:dyDescent="0.35">
      <c r="A149" t="s">
        <v>11</v>
      </c>
      <c r="B149" t="s">
        <v>12</v>
      </c>
      <c r="C149">
        <v>566</v>
      </c>
      <c r="D149" t="s">
        <v>13</v>
      </c>
      <c r="E149">
        <v>5312</v>
      </c>
      <c r="F149" t="s">
        <v>14</v>
      </c>
      <c r="G149">
        <v>118</v>
      </c>
      <c r="H149" t="s">
        <v>31</v>
      </c>
      <c r="I149">
        <v>2020</v>
      </c>
      <c r="J149">
        <v>2020</v>
      </c>
      <c r="K149" t="s">
        <v>16</v>
      </c>
      <c r="L149" s="4">
        <v>1762280</v>
      </c>
      <c r="M149" t="s">
        <v>17</v>
      </c>
      <c r="N149" t="s">
        <v>18</v>
      </c>
    </row>
    <row r="150" spans="1:14" x14ac:dyDescent="0.35">
      <c r="A150" t="s">
        <v>11</v>
      </c>
      <c r="B150" t="s">
        <v>12</v>
      </c>
      <c r="C150">
        <v>566</v>
      </c>
      <c r="D150" t="s">
        <v>13</v>
      </c>
      <c r="E150">
        <v>5412</v>
      </c>
      <c r="F150" t="s">
        <v>19</v>
      </c>
      <c r="G150">
        <v>118</v>
      </c>
      <c r="H150" t="s">
        <v>31</v>
      </c>
      <c r="I150">
        <v>2020</v>
      </c>
      <c r="J150">
        <v>2020</v>
      </c>
      <c r="K150" t="s">
        <v>20</v>
      </c>
      <c r="L150" s="4">
        <v>1081.2</v>
      </c>
      <c r="M150" t="s">
        <v>17</v>
      </c>
      <c r="N150" t="s">
        <v>18</v>
      </c>
    </row>
    <row r="151" spans="1:14" hidden="1" x14ac:dyDescent="0.35">
      <c r="A151" t="s">
        <v>11</v>
      </c>
      <c r="B151" t="s">
        <v>12</v>
      </c>
      <c r="C151">
        <v>566</v>
      </c>
      <c r="D151" t="s">
        <v>13</v>
      </c>
      <c r="E151">
        <v>5510</v>
      </c>
      <c r="F151" t="s">
        <v>21</v>
      </c>
      <c r="G151">
        <v>118</v>
      </c>
      <c r="H151" t="s">
        <v>31</v>
      </c>
      <c r="I151">
        <v>2020</v>
      </c>
      <c r="J151">
        <v>2020</v>
      </c>
      <c r="K151" t="s">
        <v>22</v>
      </c>
      <c r="L151" s="4">
        <v>1905430</v>
      </c>
      <c r="M151" t="s">
        <v>17</v>
      </c>
      <c r="N151" t="s">
        <v>18</v>
      </c>
    </row>
    <row r="152" spans="1:14" hidden="1" x14ac:dyDescent="0.35">
      <c r="A152" t="s">
        <v>11</v>
      </c>
      <c r="B152" t="s">
        <v>12</v>
      </c>
      <c r="C152">
        <v>566</v>
      </c>
      <c r="D152" t="s">
        <v>13</v>
      </c>
      <c r="E152">
        <v>5312</v>
      </c>
      <c r="F152" t="s">
        <v>14</v>
      </c>
      <c r="G152">
        <v>118</v>
      </c>
      <c r="H152" t="s">
        <v>31</v>
      </c>
      <c r="I152">
        <v>2021</v>
      </c>
      <c r="J152">
        <v>2021</v>
      </c>
      <c r="K152" t="s">
        <v>16</v>
      </c>
      <c r="L152" s="4">
        <v>1767390</v>
      </c>
      <c r="M152" t="s">
        <v>17</v>
      </c>
      <c r="N152" t="s">
        <v>18</v>
      </c>
    </row>
    <row r="153" spans="1:14" x14ac:dyDescent="0.35">
      <c r="A153" t="s">
        <v>11</v>
      </c>
      <c r="B153" t="s">
        <v>12</v>
      </c>
      <c r="C153">
        <v>566</v>
      </c>
      <c r="D153" t="s">
        <v>13</v>
      </c>
      <c r="E153">
        <v>5412</v>
      </c>
      <c r="F153" t="s">
        <v>19</v>
      </c>
      <c r="G153">
        <v>118</v>
      </c>
      <c r="H153" t="s">
        <v>31</v>
      </c>
      <c r="I153">
        <v>2021</v>
      </c>
      <c r="J153">
        <v>2021</v>
      </c>
      <c r="K153" t="s">
        <v>20</v>
      </c>
      <c r="L153" s="4">
        <v>1090.3</v>
      </c>
      <c r="M153" t="s">
        <v>17</v>
      </c>
      <c r="N153" t="s">
        <v>18</v>
      </c>
    </row>
    <row r="154" spans="1:14" hidden="1" x14ac:dyDescent="0.35">
      <c r="A154" t="s">
        <v>11</v>
      </c>
      <c r="B154" t="s">
        <v>12</v>
      </c>
      <c r="C154">
        <v>566</v>
      </c>
      <c r="D154" t="s">
        <v>13</v>
      </c>
      <c r="E154">
        <v>5510</v>
      </c>
      <c r="F154" t="s">
        <v>21</v>
      </c>
      <c r="G154">
        <v>118</v>
      </c>
      <c r="H154" t="s">
        <v>31</v>
      </c>
      <c r="I154">
        <v>2021</v>
      </c>
      <c r="J154">
        <v>2021</v>
      </c>
      <c r="K154" t="s">
        <v>22</v>
      </c>
      <c r="L154" s="4">
        <v>1926950</v>
      </c>
      <c r="M154" t="s">
        <v>17</v>
      </c>
      <c r="N154" t="s">
        <v>18</v>
      </c>
    </row>
    <row r="155" spans="1:14" hidden="1" x14ac:dyDescent="0.35">
      <c r="A155" t="s">
        <v>11</v>
      </c>
      <c r="B155" t="s">
        <v>12</v>
      </c>
      <c r="C155">
        <v>566</v>
      </c>
      <c r="D155" t="s">
        <v>13</v>
      </c>
      <c r="E155">
        <v>5312</v>
      </c>
      <c r="F155" t="s">
        <v>14</v>
      </c>
      <c r="G155">
        <v>118</v>
      </c>
      <c r="H155" t="s">
        <v>31</v>
      </c>
      <c r="I155">
        <v>2022</v>
      </c>
      <c r="J155">
        <v>2022</v>
      </c>
      <c r="K155" t="s">
        <v>16</v>
      </c>
      <c r="L155" s="4">
        <v>2000000</v>
      </c>
      <c r="M155" t="s">
        <v>28</v>
      </c>
      <c r="N155" t="s">
        <v>29</v>
      </c>
    </row>
    <row r="156" spans="1:14" x14ac:dyDescent="0.35">
      <c r="A156" t="s">
        <v>11</v>
      </c>
      <c r="B156" t="s">
        <v>12</v>
      </c>
      <c r="C156">
        <v>566</v>
      </c>
      <c r="D156" t="s">
        <v>13</v>
      </c>
      <c r="E156">
        <v>5412</v>
      </c>
      <c r="F156" t="s">
        <v>19</v>
      </c>
      <c r="G156">
        <v>118</v>
      </c>
      <c r="H156" t="s">
        <v>31</v>
      </c>
      <c r="I156">
        <v>2022</v>
      </c>
      <c r="J156">
        <v>2022</v>
      </c>
      <c r="K156" t="s">
        <v>20</v>
      </c>
      <c r="L156" s="4">
        <v>970.6</v>
      </c>
      <c r="M156" t="s">
        <v>28</v>
      </c>
      <c r="N156" t="s">
        <v>29</v>
      </c>
    </row>
    <row r="157" spans="1:14" hidden="1" x14ac:dyDescent="0.35">
      <c r="A157" t="s">
        <v>11</v>
      </c>
      <c r="B157" t="s">
        <v>12</v>
      </c>
      <c r="C157">
        <v>566</v>
      </c>
      <c r="D157" t="s">
        <v>13</v>
      </c>
      <c r="E157">
        <v>5510</v>
      </c>
      <c r="F157" t="s">
        <v>21</v>
      </c>
      <c r="G157">
        <v>118</v>
      </c>
      <c r="H157" t="s">
        <v>31</v>
      </c>
      <c r="I157">
        <v>2022</v>
      </c>
      <c r="J157">
        <v>2022</v>
      </c>
      <c r="K157" t="s">
        <v>22</v>
      </c>
      <c r="L157" s="4">
        <v>1941220</v>
      </c>
      <c r="M157" t="s">
        <v>28</v>
      </c>
      <c r="N157" t="s">
        <v>29</v>
      </c>
    </row>
    <row r="158" spans="1:14" hidden="1" x14ac:dyDescent="0.35">
      <c r="A158" t="s">
        <v>11</v>
      </c>
      <c r="B158" t="s">
        <v>12</v>
      </c>
      <c r="C158">
        <v>566</v>
      </c>
      <c r="D158" t="s">
        <v>13</v>
      </c>
      <c r="E158">
        <v>5312</v>
      </c>
      <c r="F158" t="s">
        <v>14</v>
      </c>
      <c r="G158">
        <v>113</v>
      </c>
      <c r="H158" t="s">
        <v>32</v>
      </c>
      <c r="I158">
        <v>2010</v>
      </c>
      <c r="J158">
        <v>2010</v>
      </c>
      <c r="K158" t="s">
        <v>16</v>
      </c>
      <c r="L158" s="4">
        <v>2432630</v>
      </c>
      <c r="M158" t="s">
        <v>17</v>
      </c>
      <c r="N158" t="s">
        <v>18</v>
      </c>
    </row>
    <row r="159" spans="1:14" x14ac:dyDescent="0.35">
      <c r="A159" t="s">
        <v>11</v>
      </c>
      <c r="B159" t="s">
        <v>12</v>
      </c>
      <c r="C159">
        <v>566</v>
      </c>
      <c r="D159" t="s">
        <v>13</v>
      </c>
      <c r="E159">
        <v>5412</v>
      </c>
      <c r="F159" t="s">
        <v>19</v>
      </c>
      <c r="G159">
        <v>113</v>
      </c>
      <c r="H159" t="s">
        <v>32</v>
      </c>
      <c r="I159">
        <v>2010</v>
      </c>
      <c r="J159">
        <v>2010</v>
      </c>
      <c r="K159" t="s">
        <v>20</v>
      </c>
      <c r="L159" s="4">
        <v>1838.6</v>
      </c>
      <c r="M159" t="s">
        <v>17</v>
      </c>
      <c r="N159" t="s">
        <v>18</v>
      </c>
    </row>
    <row r="160" spans="1:14" hidden="1" x14ac:dyDescent="0.35">
      <c r="A160" t="s">
        <v>11</v>
      </c>
      <c r="B160" t="s">
        <v>12</v>
      </c>
      <c r="C160">
        <v>566</v>
      </c>
      <c r="D160" t="s">
        <v>13</v>
      </c>
      <c r="E160">
        <v>5510</v>
      </c>
      <c r="F160" t="s">
        <v>21</v>
      </c>
      <c r="G160">
        <v>113</v>
      </c>
      <c r="H160" t="s">
        <v>32</v>
      </c>
      <c r="I160">
        <v>2010</v>
      </c>
      <c r="J160">
        <v>2010</v>
      </c>
      <c r="K160" t="s">
        <v>22</v>
      </c>
      <c r="L160" s="4">
        <v>4472520</v>
      </c>
      <c r="M160" t="s">
        <v>17</v>
      </c>
      <c r="N160" t="s">
        <v>18</v>
      </c>
    </row>
    <row r="161" spans="1:14" hidden="1" x14ac:dyDescent="0.35">
      <c r="A161" t="s">
        <v>11</v>
      </c>
      <c r="B161" t="s">
        <v>12</v>
      </c>
      <c r="C161">
        <v>566</v>
      </c>
      <c r="D161" t="s">
        <v>13</v>
      </c>
      <c r="E161">
        <v>5312</v>
      </c>
      <c r="F161" t="s">
        <v>14</v>
      </c>
      <c r="G161">
        <v>113</v>
      </c>
      <c r="H161" t="s">
        <v>32</v>
      </c>
      <c r="I161">
        <v>2011</v>
      </c>
      <c r="J161">
        <v>2011</v>
      </c>
      <c r="K161" t="s">
        <v>16</v>
      </c>
      <c r="L161" s="4">
        <v>2269410</v>
      </c>
      <c r="M161" t="s">
        <v>17</v>
      </c>
      <c r="N161" t="s">
        <v>18</v>
      </c>
    </row>
    <row r="162" spans="1:14" x14ac:dyDescent="0.35">
      <c r="A162" t="s">
        <v>11</v>
      </c>
      <c r="B162" t="s">
        <v>12</v>
      </c>
      <c r="C162">
        <v>566</v>
      </c>
      <c r="D162" t="s">
        <v>13</v>
      </c>
      <c r="E162">
        <v>5412</v>
      </c>
      <c r="F162" t="s">
        <v>19</v>
      </c>
      <c r="G162">
        <v>113</v>
      </c>
      <c r="H162" t="s">
        <v>32</v>
      </c>
      <c r="I162">
        <v>2011</v>
      </c>
      <c r="J162">
        <v>2011</v>
      </c>
      <c r="K162" t="s">
        <v>20</v>
      </c>
      <c r="L162" s="4">
        <v>2032.5</v>
      </c>
      <c r="M162" t="s">
        <v>17</v>
      </c>
      <c r="N162" t="s">
        <v>18</v>
      </c>
    </row>
    <row r="163" spans="1:14" hidden="1" x14ac:dyDescent="0.35">
      <c r="A163" t="s">
        <v>11</v>
      </c>
      <c r="B163" t="s">
        <v>12</v>
      </c>
      <c r="C163">
        <v>566</v>
      </c>
      <c r="D163" t="s">
        <v>13</v>
      </c>
      <c r="E163">
        <v>5510</v>
      </c>
      <c r="F163" t="s">
        <v>21</v>
      </c>
      <c r="G163">
        <v>113</v>
      </c>
      <c r="H163" t="s">
        <v>32</v>
      </c>
      <c r="I163">
        <v>2011</v>
      </c>
      <c r="J163">
        <v>2011</v>
      </c>
      <c r="K163" t="s">
        <v>22</v>
      </c>
      <c r="L163" s="4">
        <v>4612614</v>
      </c>
      <c r="M163" t="s">
        <v>17</v>
      </c>
      <c r="N163" t="s">
        <v>18</v>
      </c>
    </row>
    <row r="164" spans="1:14" hidden="1" x14ac:dyDescent="0.35">
      <c r="A164" t="s">
        <v>11</v>
      </c>
      <c r="B164" t="s">
        <v>12</v>
      </c>
      <c r="C164">
        <v>566</v>
      </c>
      <c r="D164" t="s">
        <v>13</v>
      </c>
      <c r="E164">
        <v>5312</v>
      </c>
      <c r="F164" t="s">
        <v>14</v>
      </c>
      <c r="G164">
        <v>113</v>
      </c>
      <c r="H164" t="s">
        <v>32</v>
      </c>
      <c r="I164">
        <v>2012</v>
      </c>
      <c r="J164">
        <v>2012</v>
      </c>
      <c r="K164" t="s">
        <v>16</v>
      </c>
      <c r="L164" s="4">
        <v>2863815</v>
      </c>
      <c r="M164" t="s">
        <v>17</v>
      </c>
      <c r="N164" t="s">
        <v>18</v>
      </c>
    </row>
    <row r="165" spans="1:14" x14ac:dyDescent="0.35">
      <c r="A165" t="s">
        <v>11</v>
      </c>
      <c r="B165" t="s">
        <v>12</v>
      </c>
      <c r="C165">
        <v>566</v>
      </c>
      <c r="D165" t="s">
        <v>13</v>
      </c>
      <c r="E165">
        <v>5412</v>
      </c>
      <c r="F165" t="s">
        <v>19</v>
      </c>
      <c r="G165">
        <v>113</v>
      </c>
      <c r="H165" t="s">
        <v>32</v>
      </c>
      <c r="I165">
        <v>2012</v>
      </c>
      <c r="J165">
        <v>2012</v>
      </c>
      <c r="K165" t="s">
        <v>20</v>
      </c>
      <c r="L165" s="4">
        <v>1897.1</v>
      </c>
      <c r="M165" t="s">
        <v>17</v>
      </c>
      <c r="N165" t="s">
        <v>18</v>
      </c>
    </row>
    <row r="166" spans="1:14" hidden="1" x14ac:dyDescent="0.35">
      <c r="A166" t="s">
        <v>11</v>
      </c>
      <c r="B166" t="s">
        <v>12</v>
      </c>
      <c r="C166">
        <v>566</v>
      </c>
      <c r="D166" t="s">
        <v>13</v>
      </c>
      <c r="E166">
        <v>5510</v>
      </c>
      <c r="F166" t="s">
        <v>21</v>
      </c>
      <c r="G166">
        <v>113</v>
      </c>
      <c r="H166" t="s">
        <v>32</v>
      </c>
      <c r="I166">
        <v>2012</v>
      </c>
      <c r="J166">
        <v>2012</v>
      </c>
      <c r="K166" t="s">
        <v>22</v>
      </c>
      <c r="L166" s="4">
        <v>5432930</v>
      </c>
      <c r="M166" t="s">
        <v>17</v>
      </c>
      <c r="N166" t="s">
        <v>18</v>
      </c>
    </row>
    <row r="167" spans="1:14" hidden="1" x14ac:dyDescent="0.35">
      <c r="A167" t="s">
        <v>11</v>
      </c>
      <c r="B167" t="s">
        <v>12</v>
      </c>
      <c r="C167">
        <v>566</v>
      </c>
      <c r="D167" t="s">
        <v>13</v>
      </c>
      <c r="E167">
        <v>5312</v>
      </c>
      <c r="F167" t="s">
        <v>14</v>
      </c>
      <c r="G167">
        <v>113</v>
      </c>
      <c r="H167" t="s">
        <v>32</v>
      </c>
      <c r="I167">
        <v>2013</v>
      </c>
      <c r="J167">
        <v>2013</v>
      </c>
      <c r="K167" t="s">
        <v>16</v>
      </c>
      <c r="L167" s="4">
        <v>2931800</v>
      </c>
      <c r="M167" t="s">
        <v>17</v>
      </c>
      <c r="N167" t="s">
        <v>18</v>
      </c>
    </row>
    <row r="168" spans="1:14" x14ac:dyDescent="0.35">
      <c r="A168" t="s">
        <v>11</v>
      </c>
      <c r="B168" t="s">
        <v>12</v>
      </c>
      <c r="C168">
        <v>566</v>
      </c>
      <c r="D168" t="s">
        <v>13</v>
      </c>
      <c r="E168">
        <v>5412</v>
      </c>
      <c r="F168" t="s">
        <v>19</v>
      </c>
      <c r="G168">
        <v>113</v>
      </c>
      <c r="H168" t="s">
        <v>32</v>
      </c>
      <c r="I168">
        <v>2013</v>
      </c>
      <c r="J168">
        <v>2013</v>
      </c>
      <c r="K168" t="s">
        <v>20</v>
      </c>
      <c r="L168" s="4">
        <v>1984.5</v>
      </c>
      <c r="M168" t="s">
        <v>17</v>
      </c>
      <c r="N168" t="s">
        <v>18</v>
      </c>
    </row>
    <row r="169" spans="1:14" hidden="1" x14ac:dyDescent="0.35">
      <c r="A169" t="s">
        <v>11</v>
      </c>
      <c r="B169" t="s">
        <v>12</v>
      </c>
      <c r="C169">
        <v>566</v>
      </c>
      <c r="D169" t="s">
        <v>13</v>
      </c>
      <c r="E169">
        <v>5510</v>
      </c>
      <c r="F169" t="s">
        <v>21</v>
      </c>
      <c r="G169">
        <v>113</v>
      </c>
      <c r="H169" t="s">
        <v>32</v>
      </c>
      <c r="I169">
        <v>2013</v>
      </c>
      <c r="J169">
        <v>2013</v>
      </c>
      <c r="K169" t="s">
        <v>22</v>
      </c>
      <c r="L169" s="4">
        <v>5818200</v>
      </c>
      <c r="M169" t="s">
        <v>17</v>
      </c>
      <c r="N169" t="s">
        <v>18</v>
      </c>
    </row>
    <row r="170" spans="1:14" hidden="1" x14ac:dyDescent="0.35">
      <c r="A170" t="s">
        <v>11</v>
      </c>
      <c r="B170" t="s">
        <v>12</v>
      </c>
      <c r="C170">
        <v>566</v>
      </c>
      <c r="D170" t="s">
        <v>13</v>
      </c>
      <c r="E170">
        <v>5312</v>
      </c>
      <c r="F170" t="s">
        <v>14</v>
      </c>
      <c r="G170">
        <v>113</v>
      </c>
      <c r="H170" t="s">
        <v>32</v>
      </c>
      <c r="I170">
        <v>2014</v>
      </c>
      <c r="J170">
        <v>2014</v>
      </c>
      <c r="K170" t="s">
        <v>16</v>
      </c>
      <c r="L170" s="4">
        <v>3095900</v>
      </c>
      <c r="M170" t="s">
        <v>17</v>
      </c>
      <c r="N170" t="s">
        <v>18</v>
      </c>
    </row>
    <row r="171" spans="1:14" x14ac:dyDescent="0.35">
      <c r="A171" t="s">
        <v>11</v>
      </c>
      <c r="B171" t="s">
        <v>12</v>
      </c>
      <c r="C171">
        <v>566</v>
      </c>
      <c r="D171" t="s">
        <v>13</v>
      </c>
      <c r="E171">
        <v>5412</v>
      </c>
      <c r="F171" t="s">
        <v>19</v>
      </c>
      <c r="G171">
        <v>113</v>
      </c>
      <c r="H171" t="s">
        <v>32</v>
      </c>
      <c r="I171">
        <v>2014</v>
      </c>
      <c r="J171">
        <v>2014</v>
      </c>
      <c r="K171" t="s">
        <v>20</v>
      </c>
      <c r="L171" s="4">
        <v>2160.9</v>
      </c>
      <c r="M171" t="s">
        <v>17</v>
      </c>
      <c r="N171" t="s">
        <v>18</v>
      </c>
    </row>
    <row r="172" spans="1:14" hidden="1" x14ac:dyDescent="0.35">
      <c r="A172" t="s">
        <v>11</v>
      </c>
      <c r="B172" t="s">
        <v>12</v>
      </c>
      <c r="C172">
        <v>566</v>
      </c>
      <c r="D172" t="s">
        <v>13</v>
      </c>
      <c r="E172">
        <v>5510</v>
      </c>
      <c r="F172" t="s">
        <v>21</v>
      </c>
      <c r="G172">
        <v>113</v>
      </c>
      <c r="H172" t="s">
        <v>32</v>
      </c>
      <c r="I172">
        <v>2014</v>
      </c>
      <c r="J172">
        <v>2014</v>
      </c>
      <c r="K172" t="s">
        <v>22</v>
      </c>
      <c r="L172" s="4">
        <v>6690000</v>
      </c>
      <c r="M172" t="s">
        <v>17</v>
      </c>
      <c r="N172" t="s">
        <v>18</v>
      </c>
    </row>
    <row r="173" spans="1:14" hidden="1" x14ac:dyDescent="0.35">
      <c r="A173" t="s">
        <v>11</v>
      </c>
      <c r="B173" t="s">
        <v>12</v>
      </c>
      <c r="C173">
        <v>566</v>
      </c>
      <c r="D173" t="s">
        <v>13</v>
      </c>
      <c r="E173">
        <v>5312</v>
      </c>
      <c r="F173" t="s">
        <v>14</v>
      </c>
      <c r="G173">
        <v>113</v>
      </c>
      <c r="H173" t="s">
        <v>32</v>
      </c>
      <c r="I173">
        <v>2015</v>
      </c>
      <c r="J173">
        <v>2015</v>
      </c>
      <c r="K173" t="s">
        <v>16</v>
      </c>
      <c r="L173" s="4">
        <v>3651200</v>
      </c>
      <c r="M173" t="s">
        <v>17</v>
      </c>
      <c r="N173" t="s">
        <v>18</v>
      </c>
    </row>
    <row r="174" spans="1:14" x14ac:dyDescent="0.35">
      <c r="A174" t="s">
        <v>11</v>
      </c>
      <c r="B174" t="s">
        <v>12</v>
      </c>
      <c r="C174">
        <v>566</v>
      </c>
      <c r="D174" t="s">
        <v>13</v>
      </c>
      <c r="E174">
        <v>5412</v>
      </c>
      <c r="F174" t="s">
        <v>19</v>
      </c>
      <c r="G174">
        <v>113</v>
      </c>
      <c r="H174" t="s">
        <v>32</v>
      </c>
      <c r="I174">
        <v>2015</v>
      </c>
      <c r="J174">
        <v>2015</v>
      </c>
      <c r="K174" t="s">
        <v>20</v>
      </c>
      <c r="L174" s="4">
        <v>2074.1999999999998</v>
      </c>
      <c r="M174" t="s">
        <v>17</v>
      </c>
      <c r="N174" t="s">
        <v>18</v>
      </c>
    </row>
    <row r="175" spans="1:14" hidden="1" x14ac:dyDescent="0.35">
      <c r="A175" t="s">
        <v>11</v>
      </c>
      <c r="B175" t="s">
        <v>12</v>
      </c>
      <c r="C175">
        <v>566</v>
      </c>
      <c r="D175" t="s">
        <v>13</v>
      </c>
      <c r="E175">
        <v>5510</v>
      </c>
      <c r="F175" t="s">
        <v>21</v>
      </c>
      <c r="G175">
        <v>113</v>
      </c>
      <c r="H175" t="s">
        <v>32</v>
      </c>
      <c r="I175">
        <v>2015</v>
      </c>
      <c r="J175">
        <v>2015</v>
      </c>
      <c r="K175" t="s">
        <v>22</v>
      </c>
      <c r="L175" s="4">
        <v>7573400</v>
      </c>
      <c r="M175" t="s">
        <v>17</v>
      </c>
      <c r="N175" t="s">
        <v>18</v>
      </c>
    </row>
    <row r="176" spans="1:14" hidden="1" x14ac:dyDescent="0.35">
      <c r="A176" t="s">
        <v>11</v>
      </c>
      <c r="B176" t="s">
        <v>12</v>
      </c>
      <c r="C176">
        <v>566</v>
      </c>
      <c r="D176" t="s">
        <v>13</v>
      </c>
      <c r="E176">
        <v>5312</v>
      </c>
      <c r="F176" t="s">
        <v>14</v>
      </c>
      <c r="G176">
        <v>113</v>
      </c>
      <c r="H176" t="s">
        <v>32</v>
      </c>
      <c r="I176">
        <v>2016</v>
      </c>
      <c r="J176">
        <v>2016</v>
      </c>
      <c r="K176" t="s">
        <v>16</v>
      </c>
      <c r="L176" s="4">
        <v>3898900</v>
      </c>
      <c r="M176" t="s">
        <v>17</v>
      </c>
      <c r="N176" t="s">
        <v>18</v>
      </c>
    </row>
    <row r="177" spans="1:14" x14ac:dyDescent="0.35">
      <c r="A177" t="s">
        <v>11</v>
      </c>
      <c r="B177" t="s">
        <v>12</v>
      </c>
      <c r="C177">
        <v>566</v>
      </c>
      <c r="D177" t="s">
        <v>13</v>
      </c>
      <c r="E177">
        <v>5412</v>
      </c>
      <c r="F177" t="s">
        <v>19</v>
      </c>
      <c r="G177">
        <v>113</v>
      </c>
      <c r="H177" t="s">
        <v>32</v>
      </c>
      <c r="I177">
        <v>2016</v>
      </c>
      <c r="J177">
        <v>2016</v>
      </c>
      <c r="K177" t="s">
        <v>20</v>
      </c>
      <c r="L177" s="4">
        <v>2003.7</v>
      </c>
      <c r="M177" t="s">
        <v>17</v>
      </c>
      <c r="N177" t="s">
        <v>18</v>
      </c>
    </row>
    <row r="178" spans="1:14" hidden="1" x14ac:dyDescent="0.35">
      <c r="A178" t="s">
        <v>11</v>
      </c>
      <c r="B178" t="s">
        <v>12</v>
      </c>
      <c r="C178">
        <v>566</v>
      </c>
      <c r="D178" t="s">
        <v>13</v>
      </c>
      <c r="E178">
        <v>5510</v>
      </c>
      <c r="F178" t="s">
        <v>21</v>
      </c>
      <c r="G178">
        <v>113</v>
      </c>
      <c r="H178" t="s">
        <v>32</v>
      </c>
      <c r="I178">
        <v>2016</v>
      </c>
      <c r="J178">
        <v>2016</v>
      </c>
      <c r="K178" t="s">
        <v>22</v>
      </c>
      <c r="L178" s="4">
        <v>7812200</v>
      </c>
      <c r="M178" t="s">
        <v>17</v>
      </c>
      <c r="N178" t="s">
        <v>18</v>
      </c>
    </row>
    <row r="179" spans="1:14" hidden="1" x14ac:dyDescent="0.35">
      <c r="A179" t="s">
        <v>11</v>
      </c>
      <c r="B179" t="s">
        <v>12</v>
      </c>
      <c r="C179">
        <v>566</v>
      </c>
      <c r="D179" t="s">
        <v>13</v>
      </c>
      <c r="E179">
        <v>5312</v>
      </c>
      <c r="F179" t="s">
        <v>14</v>
      </c>
      <c r="G179">
        <v>113</v>
      </c>
      <c r="H179" t="s">
        <v>32</v>
      </c>
      <c r="I179">
        <v>2017</v>
      </c>
      <c r="J179">
        <v>2017</v>
      </c>
      <c r="K179" t="s">
        <v>16</v>
      </c>
      <c r="L179" s="4">
        <v>3765000</v>
      </c>
      <c r="M179" t="s">
        <v>17</v>
      </c>
      <c r="N179" t="s">
        <v>18</v>
      </c>
    </row>
    <row r="180" spans="1:14" x14ac:dyDescent="0.35">
      <c r="A180" t="s">
        <v>11</v>
      </c>
      <c r="B180" t="s">
        <v>12</v>
      </c>
      <c r="C180">
        <v>566</v>
      </c>
      <c r="D180" t="s">
        <v>13</v>
      </c>
      <c r="E180">
        <v>5412</v>
      </c>
      <c r="F180" t="s">
        <v>19</v>
      </c>
      <c r="G180">
        <v>113</v>
      </c>
      <c r="H180" t="s">
        <v>32</v>
      </c>
      <c r="I180">
        <v>2017</v>
      </c>
      <c r="J180">
        <v>2017</v>
      </c>
      <c r="K180" t="s">
        <v>20</v>
      </c>
      <c r="L180" s="4">
        <v>2081</v>
      </c>
      <c r="M180" t="s">
        <v>17</v>
      </c>
      <c r="N180" t="s">
        <v>18</v>
      </c>
    </row>
    <row r="181" spans="1:14" hidden="1" x14ac:dyDescent="0.35">
      <c r="A181" t="s">
        <v>11</v>
      </c>
      <c r="B181" t="s">
        <v>12</v>
      </c>
      <c r="C181">
        <v>566</v>
      </c>
      <c r="D181" t="s">
        <v>13</v>
      </c>
      <c r="E181">
        <v>5510</v>
      </c>
      <c r="F181" t="s">
        <v>21</v>
      </c>
      <c r="G181">
        <v>113</v>
      </c>
      <c r="H181" t="s">
        <v>32</v>
      </c>
      <c r="I181">
        <v>2017</v>
      </c>
      <c r="J181">
        <v>2017</v>
      </c>
      <c r="K181" t="s">
        <v>22</v>
      </c>
      <c r="L181" s="4">
        <v>7835100</v>
      </c>
      <c r="M181" t="s">
        <v>17</v>
      </c>
      <c r="N181" t="s">
        <v>18</v>
      </c>
    </row>
    <row r="182" spans="1:14" hidden="1" x14ac:dyDescent="0.35">
      <c r="A182" t="s">
        <v>11</v>
      </c>
      <c r="B182" t="s">
        <v>12</v>
      </c>
      <c r="C182">
        <v>566</v>
      </c>
      <c r="D182" t="s">
        <v>13</v>
      </c>
      <c r="E182">
        <v>5312</v>
      </c>
      <c r="F182" t="s">
        <v>14</v>
      </c>
      <c r="G182">
        <v>113</v>
      </c>
      <c r="H182" t="s">
        <v>32</v>
      </c>
      <c r="I182">
        <v>2018</v>
      </c>
      <c r="J182">
        <v>2018</v>
      </c>
      <c r="K182" t="s">
        <v>16</v>
      </c>
      <c r="L182" s="4">
        <v>4065500</v>
      </c>
      <c r="M182" t="s">
        <v>17</v>
      </c>
      <c r="N182" t="s">
        <v>18</v>
      </c>
    </row>
    <row r="183" spans="1:14" x14ac:dyDescent="0.35">
      <c r="A183" t="s">
        <v>11</v>
      </c>
      <c r="B183" t="s">
        <v>12</v>
      </c>
      <c r="C183">
        <v>566</v>
      </c>
      <c r="D183" t="s">
        <v>13</v>
      </c>
      <c r="E183">
        <v>5412</v>
      </c>
      <c r="F183" t="s">
        <v>19</v>
      </c>
      <c r="G183">
        <v>113</v>
      </c>
      <c r="H183" t="s">
        <v>32</v>
      </c>
      <c r="I183">
        <v>2018</v>
      </c>
      <c r="J183">
        <v>2018</v>
      </c>
      <c r="K183" t="s">
        <v>20</v>
      </c>
      <c r="L183" s="4">
        <v>2067</v>
      </c>
      <c r="M183" t="s">
        <v>17</v>
      </c>
      <c r="N183" t="s">
        <v>18</v>
      </c>
    </row>
    <row r="184" spans="1:14" hidden="1" x14ac:dyDescent="0.35">
      <c r="A184" t="s">
        <v>11</v>
      </c>
      <c r="B184" t="s">
        <v>12</v>
      </c>
      <c r="C184">
        <v>566</v>
      </c>
      <c r="D184" t="s">
        <v>13</v>
      </c>
      <c r="E184">
        <v>5510</v>
      </c>
      <c r="F184" t="s">
        <v>21</v>
      </c>
      <c r="G184">
        <v>113</v>
      </c>
      <c r="H184" t="s">
        <v>32</v>
      </c>
      <c r="I184">
        <v>2018</v>
      </c>
      <c r="J184">
        <v>2018</v>
      </c>
      <c r="K184" t="s">
        <v>22</v>
      </c>
      <c r="L184" s="4">
        <v>8403300</v>
      </c>
      <c r="M184" t="s">
        <v>17</v>
      </c>
      <c r="N184" t="s">
        <v>18</v>
      </c>
    </row>
    <row r="185" spans="1:14" hidden="1" x14ac:dyDescent="0.35">
      <c r="A185" t="s">
        <v>11</v>
      </c>
      <c r="B185" t="s">
        <v>12</v>
      </c>
      <c r="C185">
        <v>566</v>
      </c>
      <c r="D185" t="s">
        <v>13</v>
      </c>
      <c r="E185">
        <v>5312</v>
      </c>
      <c r="F185" t="s">
        <v>14</v>
      </c>
      <c r="G185">
        <v>113</v>
      </c>
      <c r="H185" t="s">
        <v>32</v>
      </c>
      <c r="I185">
        <v>2019</v>
      </c>
      <c r="J185">
        <v>2019</v>
      </c>
      <c r="K185" t="s">
        <v>16</v>
      </c>
      <c r="L185" s="4">
        <v>4126670</v>
      </c>
      <c r="M185" t="s">
        <v>17</v>
      </c>
      <c r="N185" t="s">
        <v>18</v>
      </c>
    </row>
    <row r="186" spans="1:14" x14ac:dyDescent="0.35">
      <c r="A186" t="s">
        <v>11</v>
      </c>
      <c r="B186" t="s">
        <v>12</v>
      </c>
      <c r="C186">
        <v>566</v>
      </c>
      <c r="D186" t="s">
        <v>13</v>
      </c>
      <c r="E186">
        <v>5412</v>
      </c>
      <c r="F186" t="s">
        <v>19</v>
      </c>
      <c r="G186">
        <v>113</v>
      </c>
      <c r="H186" t="s">
        <v>32</v>
      </c>
      <c r="I186">
        <v>2019</v>
      </c>
      <c r="J186">
        <v>2019</v>
      </c>
      <c r="K186" t="s">
        <v>20</v>
      </c>
      <c r="L186" s="4">
        <v>2044.1</v>
      </c>
      <c r="M186" t="s">
        <v>17</v>
      </c>
      <c r="N186" t="s">
        <v>18</v>
      </c>
    </row>
    <row r="187" spans="1:14" hidden="1" x14ac:dyDescent="0.35">
      <c r="A187" t="s">
        <v>11</v>
      </c>
      <c r="B187" t="s">
        <v>12</v>
      </c>
      <c r="C187">
        <v>566</v>
      </c>
      <c r="D187" t="s">
        <v>13</v>
      </c>
      <c r="E187">
        <v>5510</v>
      </c>
      <c r="F187" t="s">
        <v>21</v>
      </c>
      <c r="G187">
        <v>113</v>
      </c>
      <c r="H187" t="s">
        <v>32</v>
      </c>
      <c r="I187">
        <v>2019</v>
      </c>
      <c r="J187">
        <v>2019</v>
      </c>
      <c r="K187" t="s">
        <v>22</v>
      </c>
      <c r="L187" s="4">
        <v>8435510</v>
      </c>
      <c r="M187" t="s">
        <v>17</v>
      </c>
      <c r="N187" t="s">
        <v>18</v>
      </c>
    </row>
    <row r="188" spans="1:14" hidden="1" x14ac:dyDescent="0.35">
      <c r="A188" t="s">
        <v>11</v>
      </c>
      <c r="B188" t="s">
        <v>12</v>
      </c>
      <c r="C188">
        <v>566</v>
      </c>
      <c r="D188" t="s">
        <v>13</v>
      </c>
      <c r="E188">
        <v>5312</v>
      </c>
      <c r="F188" t="s">
        <v>14</v>
      </c>
      <c r="G188">
        <v>113</v>
      </c>
      <c r="H188" t="s">
        <v>32</v>
      </c>
      <c r="I188">
        <v>2020</v>
      </c>
      <c r="J188">
        <v>2020</v>
      </c>
      <c r="K188" t="s">
        <v>16</v>
      </c>
      <c r="L188" s="4">
        <v>4195100</v>
      </c>
      <c r="M188" t="s">
        <v>17</v>
      </c>
      <c r="N188" t="s">
        <v>18</v>
      </c>
    </row>
    <row r="189" spans="1:14" x14ac:dyDescent="0.35">
      <c r="A189" t="s">
        <v>11</v>
      </c>
      <c r="B189" t="s">
        <v>12</v>
      </c>
      <c r="C189">
        <v>566</v>
      </c>
      <c r="D189" t="s">
        <v>13</v>
      </c>
      <c r="E189">
        <v>5412</v>
      </c>
      <c r="F189" t="s">
        <v>19</v>
      </c>
      <c r="G189">
        <v>113</v>
      </c>
      <c r="H189" t="s">
        <v>32</v>
      </c>
      <c r="I189">
        <v>2020</v>
      </c>
      <c r="J189">
        <v>2020</v>
      </c>
      <c r="K189" t="s">
        <v>20</v>
      </c>
      <c r="L189" s="4">
        <v>1947.9</v>
      </c>
      <c r="M189" t="s">
        <v>17</v>
      </c>
      <c r="N189" t="s">
        <v>18</v>
      </c>
    </row>
    <row r="190" spans="1:14" hidden="1" x14ac:dyDescent="0.35">
      <c r="A190" t="s">
        <v>11</v>
      </c>
      <c r="B190" t="s">
        <v>12</v>
      </c>
      <c r="C190">
        <v>566</v>
      </c>
      <c r="D190" t="s">
        <v>13</v>
      </c>
      <c r="E190">
        <v>5510</v>
      </c>
      <c r="F190" t="s">
        <v>21</v>
      </c>
      <c r="G190">
        <v>113</v>
      </c>
      <c r="H190" t="s">
        <v>32</v>
      </c>
      <c r="I190">
        <v>2020</v>
      </c>
      <c r="J190">
        <v>2020</v>
      </c>
      <c r="K190" t="s">
        <v>22</v>
      </c>
      <c r="L190" s="4">
        <v>8171800</v>
      </c>
      <c r="M190" t="s">
        <v>17</v>
      </c>
      <c r="N190" t="s">
        <v>18</v>
      </c>
    </row>
    <row r="191" spans="1:14" hidden="1" x14ac:dyDescent="0.35">
      <c r="A191" t="s">
        <v>11</v>
      </c>
      <c r="B191" t="s">
        <v>12</v>
      </c>
      <c r="C191">
        <v>566</v>
      </c>
      <c r="D191" t="s">
        <v>13</v>
      </c>
      <c r="E191">
        <v>5312</v>
      </c>
      <c r="F191" t="s">
        <v>14</v>
      </c>
      <c r="G191">
        <v>113</v>
      </c>
      <c r="H191" t="s">
        <v>32</v>
      </c>
      <c r="I191">
        <v>2021</v>
      </c>
      <c r="J191">
        <v>2021</v>
      </c>
      <c r="K191" t="s">
        <v>16</v>
      </c>
      <c r="L191" s="4">
        <v>4320100</v>
      </c>
      <c r="M191" t="s">
        <v>17</v>
      </c>
      <c r="N191" t="s">
        <v>18</v>
      </c>
    </row>
    <row r="192" spans="1:14" x14ac:dyDescent="0.35">
      <c r="A192" t="s">
        <v>11</v>
      </c>
      <c r="B192" t="s">
        <v>12</v>
      </c>
      <c r="C192">
        <v>566</v>
      </c>
      <c r="D192" t="s">
        <v>13</v>
      </c>
      <c r="E192">
        <v>5412</v>
      </c>
      <c r="F192" t="s">
        <v>19</v>
      </c>
      <c r="G192">
        <v>113</v>
      </c>
      <c r="H192" t="s">
        <v>32</v>
      </c>
      <c r="I192">
        <v>2021</v>
      </c>
      <c r="J192">
        <v>2021</v>
      </c>
      <c r="K192" t="s">
        <v>20</v>
      </c>
      <c r="L192" s="4">
        <v>1931</v>
      </c>
      <c r="M192" t="s">
        <v>17</v>
      </c>
      <c r="N192" t="s">
        <v>18</v>
      </c>
    </row>
    <row r="193" spans="1:14" hidden="1" x14ac:dyDescent="0.35">
      <c r="A193" t="s">
        <v>11</v>
      </c>
      <c r="B193" t="s">
        <v>12</v>
      </c>
      <c r="C193">
        <v>566</v>
      </c>
      <c r="D193" t="s">
        <v>13</v>
      </c>
      <c r="E193">
        <v>5510</v>
      </c>
      <c r="F193" t="s">
        <v>21</v>
      </c>
      <c r="G193">
        <v>113</v>
      </c>
      <c r="H193" t="s">
        <v>32</v>
      </c>
      <c r="I193">
        <v>2021</v>
      </c>
      <c r="J193">
        <v>2021</v>
      </c>
      <c r="K193" t="s">
        <v>22</v>
      </c>
      <c r="L193" s="4">
        <v>8342000</v>
      </c>
      <c r="M193" t="s">
        <v>17</v>
      </c>
      <c r="N193" t="s">
        <v>18</v>
      </c>
    </row>
    <row r="194" spans="1:14" hidden="1" x14ac:dyDescent="0.35">
      <c r="A194" t="s">
        <v>11</v>
      </c>
      <c r="B194" t="s">
        <v>12</v>
      </c>
      <c r="C194">
        <v>566</v>
      </c>
      <c r="D194" t="s">
        <v>13</v>
      </c>
      <c r="E194">
        <v>5312</v>
      </c>
      <c r="F194" t="s">
        <v>14</v>
      </c>
      <c r="G194">
        <v>113</v>
      </c>
      <c r="H194" t="s">
        <v>32</v>
      </c>
      <c r="I194">
        <v>2022</v>
      </c>
      <c r="J194">
        <v>2022</v>
      </c>
      <c r="K194" t="s">
        <v>16</v>
      </c>
      <c r="L194" s="4">
        <v>4580000</v>
      </c>
      <c r="M194" t="s">
        <v>17</v>
      </c>
      <c r="N194" t="s">
        <v>18</v>
      </c>
    </row>
    <row r="195" spans="1:14" x14ac:dyDescent="0.35">
      <c r="A195" t="s">
        <v>11</v>
      </c>
      <c r="B195" t="s">
        <v>12</v>
      </c>
      <c r="C195">
        <v>566</v>
      </c>
      <c r="D195" t="s">
        <v>13</v>
      </c>
      <c r="E195">
        <v>5412</v>
      </c>
      <c r="F195" t="s">
        <v>19</v>
      </c>
      <c r="G195">
        <v>113</v>
      </c>
      <c r="H195" t="s">
        <v>32</v>
      </c>
      <c r="I195">
        <v>2022</v>
      </c>
      <c r="J195">
        <v>2022</v>
      </c>
      <c r="K195" t="s">
        <v>20</v>
      </c>
      <c r="L195" s="4">
        <v>1856.3</v>
      </c>
      <c r="M195" t="s">
        <v>17</v>
      </c>
      <c r="N195" t="s">
        <v>18</v>
      </c>
    </row>
    <row r="196" spans="1:14" hidden="1" x14ac:dyDescent="0.35">
      <c r="A196" t="s">
        <v>11</v>
      </c>
      <c r="B196" t="s">
        <v>12</v>
      </c>
      <c r="C196">
        <v>566</v>
      </c>
      <c r="D196" t="s">
        <v>13</v>
      </c>
      <c r="E196">
        <v>5510</v>
      </c>
      <c r="F196" t="s">
        <v>21</v>
      </c>
      <c r="G196">
        <v>113</v>
      </c>
      <c r="H196" t="s">
        <v>32</v>
      </c>
      <c r="I196">
        <v>2022</v>
      </c>
      <c r="J196">
        <v>2022</v>
      </c>
      <c r="K196" t="s">
        <v>22</v>
      </c>
      <c r="L196" s="4">
        <v>8502000</v>
      </c>
      <c r="M196" t="s">
        <v>17</v>
      </c>
      <c r="N196" t="s">
        <v>18</v>
      </c>
    </row>
    <row r="197" spans="1:14" hidden="1" x14ac:dyDescent="0.35">
      <c r="A197" t="s">
        <v>11</v>
      </c>
      <c r="B197" t="s">
        <v>12</v>
      </c>
      <c r="C197">
        <v>566</v>
      </c>
      <c r="D197" t="s">
        <v>13</v>
      </c>
      <c r="E197">
        <v>5312</v>
      </c>
      <c r="F197" t="s">
        <v>14</v>
      </c>
      <c r="G197">
        <v>114</v>
      </c>
      <c r="H197" t="s">
        <v>33</v>
      </c>
      <c r="I197">
        <v>2010</v>
      </c>
      <c r="J197">
        <v>2010</v>
      </c>
      <c r="K197" t="s">
        <v>16</v>
      </c>
      <c r="L197" s="4">
        <v>4960130</v>
      </c>
      <c r="M197" t="s">
        <v>17</v>
      </c>
      <c r="N197" t="s">
        <v>18</v>
      </c>
    </row>
    <row r="198" spans="1:14" x14ac:dyDescent="0.35">
      <c r="A198" t="s">
        <v>11</v>
      </c>
      <c r="B198" t="s">
        <v>12</v>
      </c>
      <c r="C198">
        <v>566</v>
      </c>
      <c r="D198" t="s">
        <v>13</v>
      </c>
      <c r="E198">
        <v>5412</v>
      </c>
      <c r="F198" t="s">
        <v>19</v>
      </c>
      <c r="G198">
        <v>114</v>
      </c>
      <c r="H198" t="s">
        <v>33</v>
      </c>
      <c r="I198">
        <v>2010</v>
      </c>
      <c r="J198">
        <v>2010</v>
      </c>
      <c r="K198" t="s">
        <v>20</v>
      </c>
      <c r="L198" s="4">
        <v>1439.7</v>
      </c>
      <c r="M198" t="s">
        <v>17</v>
      </c>
      <c r="N198" t="s">
        <v>18</v>
      </c>
    </row>
    <row r="199" spans="1:14" hidden="1" x14ac:dyDescent="0.35">
      <c r="A199" t="s">
        <v>11</v>
      </c>
      <c r="B199" t="s">
        <v>12</v>
      </c>
      <c r="C199">
        <v>566</v>
      </c>
      <c r="D199" t="s">
        <v>13</v>
      </c>
      <c r="E199">
        <v>5510</v>
      </c>
      <c r="F199" t="s">
        <v>21</v>
      </c>
      <c r="G199">
        <v>114</v>
      </c>
      <c r="H199" t="s">
        <v>33</v>
      </c>
      <c r="I199">
        <v>2010</v>
      </c>
      <c r="J199">
        <v>2010</v>
      </c>
      <c r="K199" t="s">
        <v>22</v>
      </c>
      <c r="L199" s="4">
        <v>7140970</v>
      </c>
      <c r="M199" t="s">
        <v>17</v>
      </c>
      <c r="N199" t="s">
        <v>18</v>
      </c>
    </row>
    <row r="200" spans="1:14" hidden="1" x14ac:dyDescent="0.35">
      <c r="A200" t="s">
        <v>11</v>
      </c>
      <c r="B200" t="s">
        <v>12</v>
      </c>
      <c r="C200">
        <v>566</v>
      </c>
      <c r="D200" t="s">
        <v>13</v>
      </c>
      <c r="E200">
        <v>5312</v>
      </c>
      <c r="F200" t="s">
        <v>14</v>
      </c>
      <c r="G200">
        <v>114</v>
      </c>
      <c r="H200" t="s">
        <v>33</v>
      </c>
      <c r="I200">
        <v>2011</v>
      </c>
      <c r="J200">
        <v>2011</v>
      </c>
      <c r="K200" t="s">
        <v>16</v>
      </c>
      <c r="L200" s="4">
        <v>4661867</v>
      </c>
      <c r="M200" t="s">
        <v>17</v>
      </c>
      <c r="N200" t="s">
        <v>18</v>
      </c>
    </row>
    <row r="201" spans="1:14" x14ac:dyDescent="0.35">
      <c r="A201" t="s">
        <v>11</v>
      </c>
      <c r="B201" t="s">
        <v>12</v>
      </c>
      <c r="C201">
        <v>566</v>
      </c>
      <c r="D201" t="s">
        <v>13</v>
      </c>
      <c r="E201">
        <v>5412</v>
      </c>
      <c r="F201" t="s">
        <v>19</v>
      </c>
      <c r="G201">
        <v>114</v>
      </c>
      <c r="H201" t="s">
        <v>33</v>
      </c>
      <c r="I201">
        <v>2011</v>
      </c>
      <c r="J201">
        <v>2011</v>
      </c>
      <c r="K201" t="s">
        <v>20</v>
      </c>
      <c r="L201" s="4">
        <v>1220.5999999999999</v>
      </c>
      <c r="M201" t="s">
        <v>17</v>
      </c>
      <c r="N201" t="s">
        <v>18</v>
      </c>
    </row>
    <row r="202" spans="1:14" hidden="1" x14ac:dyDescent="0.35">
      <c r="A202" t="s">
        <v>11</v>
      </c>
      <c r="B202" t="s">
        <v>12</v>
      </c>
      <c r="C202">
        <v>566</v>
      </c>
      <c r="D202" t="s">
        <v>13</v>
      </c>
      <c r="E202">
        <v>5510</v>
      </c>
      <c r="F202" t="s">
        <v>21</v>
      </c>
      <c r="G202">
        <v>114</v>
      </c>
      <c r="H202" t="s">
        <v>33</v>
      </c>
      <c r="I202">
        <v>2011</v>
      </c>
      <c r="J202">
        <v>2011</v>
      </c>
      <c r="K202" t="s">
        <v>22</v>
      </c>
      <c r="L202" s="4">
        <v>5690145</v>
      </c>
      <c r="M202" t="s">
        <v>17</v>
      </c>
      <c r="N202" t="s">
        <v>18</v>
      </c>
    </row>
    <row r="203" spans="1:14" hidden="1" x14ac:dyDescent="0.35">
      <c r="A203" t="s">
        <v>11</v>
      </c>
      <c r="B203" t="s">
        <v>12</v>
      </c>
      <c r="C203">
        <v>566</v>
      </c>
      <c r="D203" t="s">
        <v>13</v>
      </c>
      <c r="E203">
        <v>5312</v>
      </c>
      <c r="F203" t="s">
        <v>14</v>
      </c>
      <c r="G203">
        <v>114</v>
      </c>
      <c r="H203" t="s">
        <v>33</v>
      </c>
      <c r="I203">
        <v>2012</v>
      </c>
      <c r="J203">
        <v>2012</v>
      </c>
      <c r="K203" t="s">
        <v>16</v>
      </c>
      <c r="L203" s="4">
        <v>5099975</v>
      </c>
      <c r="M203" t="s">
        <v>17</v>
      </c>
      <c r="N203" t="s">
        <v>18</v>
      </c>
    </row>
    <row r="204" spans="1:14" x14ac:dyDescent="0.35">
      <c r="A204" t="s">
        <v>11</v>
      </c>
      <c r="B204" t="s">
        <v>12</v>
      </c>
      <c r="C204">
        <v>566</v>
      </c>
      <c r="D204" t="s">
        <v>13</v>
      </c>
      <c r="E204">
        <v>5412</v>
      </c>
      <c r="F204" t="s">
        <v>19</v>
      </c>
      <c r="G204">
        <v>114</v>
      </c>
      <c r="H204" t="s">
        <v>33</v>
      </c>
      <c r="I204">
        <v>2012</v>
      </c>
      <c r="J204">
        <v>2012</v>
      </c>
      <c r="K204" t="s">
        <v>20</v>
      </c>
      <c r="L204" s="4">
        <v>1144.5</v>
      </c>
      <c r="M204" t="s">
        <v>17</v>
      </c>
      <c r="N204" t="s">
        <v>18</v>
      </c>
    </row>
    <row r="205" spans="1:14" hidden="1" x14ac:dyDescent="0.35">
      <c r="A205" t="s">
        <v>11</v>
      </c>
      <c r="B205" t="s">
        <v>12</v>
      </c>
      <c r="C205">
        <v>566</v>
      </c>
      <c r="D205" t="s">
        <v>13</v>
      </c>
      <c r="E205">
        <v>5510</v>
      </c>
      <c r="F205" t="s">
        <v>21</v>
      </c>
      <c r="G205">
        <v>114</v>
      </c>
      <c r="H205" t="s">
        <v>33</v>
      </c>
      <c r="I205">
        <v>2012</v>
      </c>
      <c r="J205">
        <v>2012</v>
      </c>
      <c r="K205" t="s">
        <v>22</v>
      </c>
      <c r="L205" s="4">
        <v>5837106</v>
      </c>
      <c r="M205" t="s">
        <v>17</v>
      </c>
      <c r="N205" t="s">
        <v>18</v>
      </c>
    </row>
    <row r="206" spans="1:14" hidden="1" x14ac:dyDescent="0.35">
      <c r="A206" t="s">
        <v>11</v>
      </c>
      <c r="B206" t="s">
        <v>12</v>
      </c>
      <c r="C206">
        <v>566</v>
      </c>
      <c r="D206" t="s">
        <v>13</v>
      </c>
      <c r="E206">
        <v>5312</v>
      </c>
      <c r="F206" t="s">
        <v>14</v>
      </c>
      <c r="G206">
        <v>114</v>
      </c>
      <c r="H206" t="s">
        <v>33</v>
      </c>
      <c r="I206">
        <v>2013</v>
      </c>
      <c r="J206">
        <v>2013</v>
      </c>
      <c r="K206" t="s">
        <v>16</v>
      </c>
      <c r="L206" s="4">
        <v>5449200</v>
      </c>
      <c r="M206" t="s">
        <v>17</v>
      </c>
      <c r="N206" t="s">
        <v>18</v>
      </c>
    </row>
    <row r="207" spans="1:14" x14ac:dyDescent="0.35">
      <c r="A207" t="s">
        <v>11</v>
      </c>
      <c r="B207" t="s">
        <v>12</v>
      </c>
      <c r="C207">
        <v>566</v>
      </c>
      <c r="D207" t="s">
        <v>13</v>
      </c>
      <c r="E207">
        <v>5412</v>
      </c>
      <c r="F207" t="s">
        <v>19</v>
      </c>
      <c r="G207">
        <v>114</v>
      </c>
      <c r="H207" t="s">
        <v>33</v>
      </c>
      <c r="I207">
        <v>2013</v>
      </c>
      <c r="J207">
        <v>2013</v>
      </c>
      <c r="K207" t="s">
        <v>20</v>
      </c>
      <c r="L207" s="4">
        <v>972.7</v>
      </c>
      <c r="M207" t="s">
        <v>17</v>
      </c>
      <c r="N207" t="s">
        <v>18</v>
      </c>
    </row>
    <row r="208" spans="1:14" hidden="1" x14ac:dyDescent="0.35">
      <c r="A208" t="s">
        <v>11</v>
      </c>
      <c r="B208" t="s">
        <v>12</v>
      </c>
      <c r="C208">
        <v>566</v>
      </c>
      <c r="D208" t="s">
        <v>13</v>
      </c>
      <c r="E208">
        <v>5510</v>
      </c>
      <c r="F208" t="s">
        <v>21</v>
      </c>
      <c r="G208">
        <v>114</v>
      </c>
      <c r="H208" t="s">
        <v>33</v>
      </c>
      <c r="I208">
        <v>2013</v>
      </c>
      <c r="J208">
        <v>2013</v>
      </c>
      <c r="K208" t="s">
        <v>22</v>
      </c>
      <c r="L208" s="4">
        <v>5300270</v>
      </c>
      <c r="M208" t="s">
        <v>17</v>
      </c>
      <c r="N208" t="s">
        <v>18</v>
      </c>
    </row>
    <row r="209" spans="1:14" hidden="1" x14ac:dyDescent="0.35">
      <c r="A209" t="s">
        <v>11</v>
      </c>
      <c r="B209" t="s">
        <v>12</v>
      </c>
      <c r="C209">
        <v>566</v>
      </c>
      <c r="D209" t="s">
        <v>13</v>
      </c>
      <c r="E209">
        <v>5312</v>
      </c>
      <c r="F209" t="s">
        <v>14</v>
      </c>
      <c r="G209">
        <v>114</v>
      </c>
      <c r="H209" t="s">
        <v>33</v>
      </c>
      <c r="I209">
        <v>2014</v>
      </c>
      <c r="J209">
        <v>2014</v>
      </c>
      <c r="K209" t="s">
        <v>16</v>
      </c>
      <c r="L209" s="4">
        <v>5702160</v>
      </c>
      <c r="M209" t="s">
        <v>17</v>
      </c>
      <c r="N209" t="s">
        <v>18</v>
      </c>
    </row>
    <row r="210" spans="1:14" x14ac:dyDescent="0.35">
      <c r="A210" t="s">
        <v>11</v>
      </c>
      <c r="B210" t="s">
        <v>12</v>
      </c>
      <c r="C210">
        <v>566</v>
      </c>
      <c r="D210" t="s">
        <v>13</v>
      </c>
      <c r="E210">
        <v>5412</v>
      </c>
      <c r="F210" t="s">
        <v>19</v>
      </c>
      <c r="G210">
        <v>114</v>
      </c>
      <c r="H210" t="s">
        <v>33</v>
      </c>
      <c r="I210">
        <v>2014</v>
      </c>
      <c r="J210">
        <v>2014</v>
      </c>
      <c r="K210" t="s">
        <v>20</v>
      </c>
      <c r="L210" s="4">
        <v>1207.0999999999999</v>
      </c>
      <c r="M210" t="s">
        <v>17</v>
      </c>
      <c r="N210" t="s">
        <v>18</v>
      </c>
    </row>
    <row r="211" spans="1:14" hidden="1" x14ac:dyDescent="0.35">
      <c r="A211" t="s">
        <v>11</v>
      </c>
      <c r="B211" t="s">
        <v>12</v>
      </c>
      <c r="C211">
        <v>566</v>
      </c>
      <c r="D211" t="s">
        <v>13</v>
      </c>
      <c r="E211">
        <v>5510</v>
      </c>
      <c r="F211" t="s">
        <v>21</v>
      </c>
      <c r="G211">
        <v>114</v>
      </c>
      <c r="H211" t="s">
        <v>33</v>
      </c>
      <c r="I211">
        <v>2014</v>
      </c>
      <c r="J211">
        <v>2014</v>
      </c>
      <c r="K211" t="s">
        <v>22</v>
      </c>
      <c r="L211" s="4">
        <v>6883294</v>
      </c>
      <c r="M211" t="s">
        <v>17</v>
      </c>
      <c r="N211" t="s">
        <v>18</v>
      </c>
    </row>
    <row r="212" spans="1:14" hidden="1" x14ac:dyDescent="0.35">
      <c r="A212" t="s">
        <v>11</v>
      </c>
      <c r="B212" t="s">
        <v>12</v>
      </c>
      <c r="C212">
        <v>566</v>
      </c>
      <c r="D212" t="s">
        <v>13</v>
      </c>
      <c r="E212">
        <v>5312</v>
      </c>
      <c r="F212" t="s">
        <v>14</v>
      </c>
      <c r="G212">
        <v>114</v>
      </c>
      <c r="H212" t="s">
        <v>33</v>
      </c>
      <c r="I212">
        <v>2015</v>
      </c>
      <c r="J212">
        <v>2015</v>
      </c>
      <c r="K212" t="s">
        <v>16</v>
      </c>
      <c r="L212" s="4">
        <v>5899134</v>
      </c>
      <c r="M212" t="s">
        <v>17</v>
      </c>
      <c r="N212" t="s">
        <v>18</v>
      </c>
    </row>
    <row r="213" spans="1:14" x14ac:dyDescent="0.35">
      <c r="A213" t="s">
        <v>11</v>
      </c>
      <c r="B213" t="s">
        <v>12</v>
      </c>
      <c r="C213">
        <v>566</v>
      </c>
      <c r="D213" t="s">
        <v>13</v>
      </c>
      <c r="E213">
        <v>5412</v>
      </c>
      <c r="F213" t="s">
        <v>19</v>
      </c>
      <c r="G213">
        <v>114</v>
      </c>
      <c r="H213" t="s">
        <v>33</v>
      </c>
      <c r="I213">
        <v>2015</v>
      </c>
      <c r="J213">
        <v>2015</v>
      </c>
      <c r="K213" t="s">
        <v>20</v>
      </c>
      <c r="L213" s="4">
        <v>1187.5</v>
      </c>
      <c r="M213" t="s">
        <v>17</v>
      </c>
      <c r="N213" t="s">
        <v>18</v>
      </c>
    </row>
    <row r="214" spans="1:14" hidden="1" x14ac:dyDescent="0.35">
      <c r="A214" t="s">
        <v>11</v>
      </c>
      <c r="B214" t="s">
        <v>12</v>
      </c>
      <c r="C214">
        <v>566</v>
      </c>
      <c r="D214" t="s">
        <v>13</v>
      </c>
      <c r="E214">
        <v>5510</v>
      </c>
      <c r="F214" t="s">
        <v>21</v>
      </c>
      <c r="G214">
        <v>114</v>
      </c>
      <c r="H214" t="s">
        <v>33</v>
      </c>
      <c r="I214">
        <v>2015</v>
      </c>
      <c r="J214">
        <v>2015</v>
      </c>
      <c r="K214" t="s">
        <v>22</v>
      </c>
      <c r="L214" s="4">
        <v>7005025</v>
      </c>
      <c r="M214" t="s">
        <v>17</v>
      </c>
      <c r="N214" t="s">
        <v>18</v>
      </c>
    </row>
    <row r="215" spans="1:14" hidden="1" x14ac:dyDescent="0.35">
      <c r="A215" t="s">
        <v>11</v>
      </c>
      <c r="B215" t="s">
        <v>12</v>
      </c>
      <c r="C215">
        <v>566</v>
      </c>
      <c r="D215" t="s">
        <v>13</v>
      </c>
      <c r="E215">
        <v>5312</v>
      </c>
      <c r="F215" t="s">
        <v>14</v>
      </c>
      <c r="G215">
        <v>114</v>
      </c>
      <c r="H215" t="s">
        <v>33</v>
      </c>
      <c r="I215">
        <v>2016</v>
      </c>
      <c r="J215">
        <v>2016</v>
      </c>
      <c r="K215" t="s">
        <v>16</v>
      </c>
      <c r="L215" s="4">
        <v>5472010</v>
      </c>
      <c r="M215" t="s">
        <v>17</v>
      </c>
      <c r="N215" t="s">
        <v>18</v>
      </c>
    </row>
    <row r="216" spans="1:14" x14ac:dyDescent="0.35">
      <c r="A216" t="s">
        <v>11</v>
      </c>
      <c r="B216" t="s">
        <v>12</v>
      </c>
      <c r="C216">
        <v>566</v>
      </c>
      <c r="D216" t="s">
        <v>13</v>
      </c>
      <c r="E216">
        <v>5412</v>
      </c>
      <c r="F216" t="s">
        <v>19</v>
      </c>
      <c r="G216">
        <v>114</v>
      </c>
      <c r="H216" t="s">
        <v>33</v>
      </c>
      <c r="I216">
        <v>2016</v>
      </c>
      <c r="J216">
        <v>2016</v>
      </c>
      <c r="K216" t="s">
        <v>20</v>
      </c>
      <c r="L216" s="4">
        <v>1380.9</v>
      </c>
      <c r="M216" t="s">
        <v>17</v>
      </c>
      <c r="N216" t="s">
        <v>18</v>
      </c>
    </row>
    <row r="217" spans="1:14" hidden="1" x14ac:dyDescent="0.35">
      <c r="A217" t="s">
        <v>11</v>
      </c>
      <c r="B217" t="s">
        <v>12</v>
      </c>
      <c r="C217">
        <v>566</v>
      </c>
      <c r="D217" t="s">
        <v>13</v>
      </c>
      <c r="E217">
        <v>5510</v>
      </c>
      <c r="F217" t="s">
        <v>21</v>
      </c>
      <c r="G217">
        <v>114</v>
      </c>
      <c r="H217" t="s">
        <v>33</v>
      </c>
      <c r="I217">
        <v>2016</v>
      </c>
      <c r="J217">
        <v>2016</v>
      </c>
      <c r="K217" t="s">
        <v>22</v>
      </c>
      <c r="L217" s="4">
        <v>7556076</v>
      </c>
      <c r="M217" t="s">
        <v>17</v>
      </c>
      <c r="N217" t="s">
        <v>18</v>
      </c>
    </row>
    <row r="218" spans="1:14" hidden="1" x14ac:dyDescent="0.35">
      <c r="A218" t="s">
        <v>11</v>
      </c>
      <c r="B218" t="s">
        <v>12</v>
      </c>
      <c r="C218">
        <v>566</v>
      </c>
      <c r="D218" t="s">
        <v>13</v>
      </c>
      <c r="E218">
        <v>5312</v>
      </c>
      <c r="F218" t="s">
        <v>14</v>
      </c>
      <c r="G218">
        <v>114</v>
      </c>
      <c r="H218" t="s">
        <v>33</v>
      </c>
      <c r="I218">
        <v>2017</v>
      </c>
      <c r="J218">
        <v>2017</v>
      </c>
      <c r="K218" t="s">
        <v>16</v>
      </c>
      <c r="L218" s="4">
        <v>5820000</v>
      </c>
      <c r="M218" t="s">
        <v>17</v>
      </c>
      <c r="N218" t="s">
        <v>18</v>
      </c>
    </row>
    <row r="219" spans="1:14" x14ac:dyDescent="0.35">
      <c r="A219" t="s">
        <v>11</v>
      </c>
      <c r="B219" t="s">
        <v>12</v>
      </c>
      <c r="C219">
        <v>566</v>
      </c>
      <c r="D219" t="s">
        <v>13</v>
      </c>
      <c r="E219">
        <v>5412</v>
      </c>
      <c r="F219" t="s">
        <v>19</v>
      </c>
      <c r="G219">
        <v>114</v>
      </c>
      <c r="H219" t="s">
        <v>33</v>
      </c>
      <c r="I219">
        <v>2017</v>
      </c>
      <c r="J219">
        <v>2017</v>
      </c>
      <c r="K219" t="s">
        <v>20</v>
      </c>
      <c r="L219" s="4">
        <v>1192.3</v>
      </c>
      <c r="M219" t="s">
        <v>17</v>
      </c>
      <c r="N219" t="s">
        <v>18</v>
      </c>
    </row>
    <row r="220" spans="1:14" hidden="1" x14ac:dyDescent="0.35">
      <c r="A220" t="s">
        <v>11</v>
      </c>
      <c r="B220" t="s">
        <v>12</v>
      </c>
      <c r="C220">
        <v>566</v>
      </c>
      <c r="D220" t="s">
        <v>13</v>
      </c>
      <c r="E220">
        <v>5510</v>
      </c>
      <c r="F220" t="s">
        <v>21</v>
      </c>
      <c r="G220">
        <v>114</v>
      </c>
      <c r="H220" t="s">
        <v>33</v>
      </c>
      <c r="I220">
        <v>2017</v>
      </c>
      <c r="J220">
        <v>2017</v>
      </c>
      <c r="K220" t="s">
        <v>22</v>
      </c>
      <c r="L220" s="4">
        <v>6939000</v>
      </c>
      <c r="M220" t="s">
        <v>17</v>
      </c>
      <c r="N220" t="s">
        <v>18</v>
      </c>
    </row>
    <row r="221" spans="1:14" hidden="1" x14ac:dyDescent="0.35">
      <c r="A221" t="s">
        <v>11</v>
      </c>
      <c r="B221" t="s">
        <v>12</v>
      </c>
      <c r="C221">
        <v>566</v>
      </c>
      <c r="D221" t="s">
        <v>13</v>
      </c>
      <c r="E221">
        <v>5312</v>
      </c>
      <c r="F221" t="s">
        <v>14</v>
      </c>
      <c r="G221">
        <v>114</v>
      </c>
      <c r="H221" t="s">
        <v>33</v>
      </c>
      <c r="I221">
        <v>2018</v>
      </c>
      <c r="J221">
        <v>2018</v>
      </c>
      <c r="K221" t="s">
        <v>16</v>
      </c>
      <c r="L221" s="4">
        <v>5628899</v>
      </c>
      <c r="M221" t="s">
        <v>23</v>
      </c>
      <c r="N221" t="s">
        <v>24</v>
      </c>
    </row>
    <row r="222" spans="1:14" x14ac:dyDescent="0.35">
      <c r="A222" t="s">
        <v>11</v>
      </c>
      <c r="B222" t="s">
        <v>12</v>
      </c>
      <c r="C222">
        <v>566</v>
      </c>
      <c r="D222" t="s">
        <v>13</v>
      </c>
      <c r="E222">
        <v>5412</v>
      </c>
      <c r="F222" t="s">
        <v>19</v>
      </c>
      <c r="G222">
        <v>114</v>
      </c>
      <c r="H222" t="s">
        <v>33</v>
      </c>
      <c r="I222">
        <v>2018</v>
      </c>
      <c r="J222">
        <v>2018</v>
      </c>
      <c r="K222" t="s">
        <v>20</v>
      </c>
      <c r="L222" s="4">
        <v>1208.0999999999999</v>
      </c>
      <c r="M222" t="s">
        <v>25</v>
      </c>
      <c r="N222" t="s">
        <v>26</v>
      </c>
    </row>
    <row r="223" spans="1:14" hidden="1" x14ac:dyDescent="0.35">
      <c r="A223" t="s">
        <v>11</v>
      </c>
      <c r="B223" t="s">
        <v>12</v>
      </c>
      <c r="C223">
        <v>566</v>
      </c>
      <c r="D223" t="s">
        <v>13</v>
      </c>
      <c r="E223">
        <v>5510</v>
      </c>
      <c r="F223" t="s">
        <v>21</v>
      </c>
      <c r="G223">
        <v>114</v>
      </c>
      <c r="H223" t="s">
        <v>33</v>
      </c>
      <c r="I223">
        <v>2018</v>
      </c>
      <c r="J223">
        <v>2018</v>
      </c>
      <c r="K223" t="s">
        <v>22</v>
      </c>
      <c r="L223" s="4">
        <v>6800000</v>
      </c>
      <c r="M223" t="s">
        <v>28</v>
      </c>
      <c r="N223" t="s">
        <v>29</v>
      </c>
    </row>
    <row r="224" spans="1:14" hidden="1" x14ac:dyDescent="0.35">
      <c r="A224" t="s">
        <v>11</v>
      </c>
      <c r="B224" t="s">
        <v>12</v>
      </c>
      <c r="C224">
        <v>566</v>
      </c>
      <c r="D224" t="s">
        <v>13</v>
      </c>
      <c r="E224">
        <v>5312</v>
      </c>
      <c r="F224" t="s">
        <v>14</v>
      </c>
      <c r="G224">
        <v>114</v>
      </c>
      <c r="H224" t="s">
        <v>33</v>
      </c>
      <c r="I224">
        <v>2019</v>
      </c>
      <c r="J224">
        <v>2019</v>
      </c>
      <c r="K224" t="s">
        <v>16</v>
      </c>
      <c r="L224" s="4">
        <v>5397000</v>
      </c>
      <c r="M224" t="s">
        <v>28</v>
      </c>
      <c r="N224" t="s">
        <v>29</v>
      </c>
    </row>
    <row r="225" spans="1:14" x14ac:dyDescent="0.35">
      <c r="A225" t="s">
        <v>11</v>
      </c>
      <c r="B225" t="s">
        <v>12</v>
      </c>
      <c r="C225">
        <v>566</v>
      </c>
      <c r="D225" t="s">
        <v>13</v>
      </c>
      <c r="E225">
        <v>5412</v>
      </c>
      <c r="F225" t="s">
        <v>19</v>
      </c>
      <c r="G225">
        <v>114</v>
      </c>
      <c r="H225" t="s">
        <v>33</v>
      </c>
      <c r="I225">
        <v>2019</v>
      </c>
      <c r="J225">
        <v>2019</v>
      </c>
      <c r="K225" t="s">
        <v>20</v>
      </c>
      <c r="L225" s="4">
        <v>1234.9000000000001</v>
      </c>
      <c r="M225" t="s">
        <v>28</v>
      </c>
      <c r="N225" t="s">
        <v>29</v>
      </c>
    </row>
    <row r="226" spans="1:14" hidden="1" x14ac:dyDescent="0.35">
      <c r="A226" t="s">
        <v>11</v>
      </c>
      <c r="B226" t="s">
        <v>12</v>
      </c>
      <c r="C226">
        <v>566</v>
      </c>
      <c r="D226" t="s">
        <v>13</v>
      </c>
      <c r="E226">
        <v>5510</v>
      </c>
      <c r="F226" t="s">
        <v>21</v>
      </c>
      <c r="G226">
        <v>114</v>
      </c>
      <c r="H226" t="s">
        <v>33</v>
      </c>
      <c r="I226">
        <v>2019</v>
      </c>
      <c r="J226">
        <v>2019</v>
      </c>
      <c r="K226" t="s">
        <v>22</v>
      </c>
      <c r="L226" s="4">
        <v>6665000</v>
      </c>
      <c r="M226" t="s">
        <v>28</v>
      </c>
      <c r="N226" t="s">
        <v>29</v>
      </c>
    </row>
    <row r="227" spans="1:14" hidden="1" x14ac:dyDescent="0.35">
      <c r="A227" t="s">
        <v>11</v>
      </c>
      <c r="B227" t="s">
        <v>12</v>
      </c>
      <c r="C227">
        <v>566</v>
      </c>
      <c r="D227" t="s">
        <v>13</v>
      </c>
      <c r="E227">
        <v>5312</v>
      </c>
      <c r="F227" t="s">
        <v>14</v>
      </c>
      <c r="G227">
        <v>114</v>
      </c>
      <c r="H227" t="s">
        <v>33</v>
      </c>
      <c r="I227">
        <v>2020</v>
      </c>
      <c r="J227">
        <v>2020</v>
      </c>
      <c r="K227" t="s">
        <v>16</v>
      </c>
      <c r="L227" s="4">
        <v>5799600</v>
      </c>
      <c r="M227" t="s">
        <v>17</v>
      </c>
      <c r="N227" t="s">
        <v>18</v>
      </c>
    </row>
    <row r="228" spans="1:14" x14ac:dyDescent="0.35">
      <c r="A228" t="s">
        <v>11</v>
      </c>
      <c r="B228" t="s">
        <v>12</v>
      </c>
      <c r="C228">
        <v>566</v>
      </c>
      <c r="D228" t="s">
        <v>13</v>
      </c>
      <c r="E228">
        <v>5412</v>
      </c>
      <c r="F228" t="s">
        <v>19</v>
      </c>
      <c r="G228">
        <v>114</v>
      </c>
      <c r="H228" t="s">
        <v>33</v>
      </c>
      <c r="I228">
        <v>2020</v>
      </c>
      <c r="J228">
        <v>2020</v>
      </c>
      <c r="K228" t="s">
        <v>20</v>
      </c>
      <c r="L228" s="4">
        <v>1136.4000000000001</v>
      </c>
      <c r="M228" t="s">
        <v>17</v>
      </c>
      <c r="N228" t="s">
        <v>18</v>
      </c>
    </row>
    <row r="229" spans="1:14" hidden="1" x14ac:dyDescent="0.35">
      <c r="A229" t="s">
        <v>11</v>
      </c>
      <c r="B229" t="s">
        <v>12</v>
      </c>
      <c r="C229">
        <v>566</v>
      </c>
      <c r="D229" t="s">
        <v>13</v>
      </c>
      <c r="E229">
        <v>5510</v>
      </c>
      <c r="F229" t="s">
        <v>21</v>
      </c>
      <c r="G229">
        <v>114</v>
      </c>
      <c r="H229" t="s">
        <v>33</v>
      </c>
      <c r="I229">
        <v>2020</v>
      </c>
      <c r="J229">
        <v>2020</v>
      </c>
      <c r="K229" t="s">
        <v>22</v>
      </c>
      <c r="L229" s="4">
        <v>6590600</v>
      </c>
      <c r="M229" t="s">
        <v>17</v>
      </c>
      <c r="N229" t="s">
        <v>18</v>
      </c>
    </row>
    <row r="230" spans="1:14" hidden="1" x14ac:dyDescent="0.35">
      <c r="A230" t="s">
        <v>11</v>
      </c>
      <c r="B230" t="s">
        <v>12</v>
      </c>
      <c r="C230">
        <v>566</v>
      </c>
      <c r="D230" t="s">
        <v>13</v>
      </c>
      <c r="E230">
        <v>5312</v>
      </c>
      <c r="F230" t="s">
        <v>14</v>
      </c>
      <c r="G230">
        <v>114</v>
      </c>
      <c r="H230" t="s">
        <v>33</v>
      </c>
      <c r="I230">
        <v>2021</v>
      </c>
      <c r="J230">
        <v>2021</v>
      </c>
      <c r="K230" t="s">
        <v>16</v>
      </c>
      <c r="L230" s="4">
        <v>5930900</v>
      </c>
      <c r="M230" t="s">
        <v>17</v>
      </c>
      <c r="N230" t="s">
        <v>18</v>
      </c>
    </row>
    <row r="231" spans="1:14" x14ac:dyDescent="0.35">
      <c r="A231" t="s">
        <v>11</v>
      </c>
      <c r="B231" t="s">
        <v>12</v>
      </c>
      <c r="C231">
        <v>566</v>
      </c>
      <c r="D231" t="s">
        <v>13</v>
      </c>
      <c r="E231">
        <v>5412</v>
      </c>
      <c r="F231" t="s">
        <v>19</v>
      </c>
      <c r="G231">
        <v>114</v>
      </c>
      <c r="H231" t="s">
        <v>33</v>
      </c>
      <c r="I231">
        <v>2021</v>
      </c>
      <c r="J231">
        <v>2021</v>
      </c>
      <c r="K231" t="s">
        <v>20</v>
      </c>
      <c r="L231" s="4">
        <v>1134</v>
      </c>
      <c r="M231" t="s">
        <v>17</v>
      </c>
      <c r="N231" t="s">
        <v>18</v>
      </c>
    </row>
    <row r="232" spans="1:14" hidden="1" x14ac:dyDescent="0.35">
      <c r="A232" t="s">
        <v>11</v>
      </c>
      <c r="B232" t="s">
        <v>12</v>
      </c>
      <c r="C232">
        <v>566</v>
      </c>
      <c r="D232" t="s">
        <v>13</v>
      </c>
      <c r="E232">
        <v>5510</v>
      </c>
      <c r="F232" t="s">
        <v>21</v>
      </c>
      <c r="G232">
        <v>114</v>
      </c>
      <c r="H232" t="s">
        <v>33</v>
      </c>
      <c r="I232">
        <v>2021</v>
      </c>
      <c r="J232">
        <v>2021</v>
      </c>
      <c r="K232" t="s">
        <v>22</v>
      </c>
      <c r="L232" s="4">
        <v>6725500</v>
      </c>
      <c r="M232" t="s">
        <v>17</v>
      </c>
      <c r="N232" t="s">
        <v>18</v>
      </c>
    </row>
    <row r="233" spans="1:14" hidden="1" x14ac:dyDescent="0.35">
      <c r="A233" t="s">
        <v>11</v>
      </c>
      <c r="B233" t="s">
        <v>12</v>
      </c>
      <c r="C233">
        <v>566</v>
      </c>
      <c r="D233" t="s">
        <v>13</v>
      </c>
      <c r="E233">
        <v>5312</v>
      </c>
      <c r="F233" t="s">
        <v>14</v>
      </c>
      <c r="G233">
        <v>114</v>
      </c>
      <c r="H233" t="s">
        <v>33</v>
      </c>
      <c r="I233">
        <v>2022</v>
      </c>
      <c r="J233">
        <v>2022</v>
      </c>
      <c r="K233" t="s">
        <v>16</v>
      </c>
      <c r="L233" s="4">
        <v>5700000</v>
      </c>
      <c r="M233" t="s">
        <v>28</v>
      </c>
      <c r="N233" t="s">
        <v>29</v>
      </c>
    </row>
    <row r="234" spans="1:14" x14ac:dyDescent="0.35">
      <c r="A234" t="s">
        <v>11</v>
      </c>
      <c r="B234" t="s">
        <v>12</v>
      </c>
      <c r="C234">
        <v>566</v>
      </c>
      <c r="D234" t="s">
        <v>13</v>
      </c>
      <c r="E234">
        <v>5412</v>
      </c>
      <c r="F234" t="s">
        <v>19</v>
      </c>
      <c r="G234">
        <v>114</v>
      </c>
      <c r="H234" t="s">
        <v>33</v>
      </c>
      <c r="I234">
        <v>2022</v>
      </c>
      <c r="J234">
        <v>2022</v>
      </c>
      <c r="K234" t="s">
        <v>20</v>
      </c>
      <c r="L234" s="4">
        <v>1194.0999999999999</v>
      </c>
      <c r="M234" t="s">
        <v>28</v>
      </c>
      <c r="N234" t="s">
        <v>29</v>
      </c>
    </row>
    <row r="235" spans="1:14" hidden="1" x14ac:dyDescent="0.35">
      <c r="A235" t="s">
        <v>11</v>
      </c>
      <c r="B235" t="s">
        <v>12</v>
      </c>
      <c r="C235">
        <v>566</v>
      </c>
      <c r="D235" t="s">
        <v>13</v>
      </c>
      <c r="E235">
        <v>5510</v>
      </c>
      <c r="F235" t="s">
        <v>21</v>
      </c>
      <c r="G235">
        <v>114</v>
      </c>
      <c r="H235" t="s">
        <v>33</v>
      </c>
      <c r="I235">
        <v>2022</v>
      </c>
      <c r="J235">
        <v>2022</v>
      </c>
      <c r="K235" t="s">
        <v>22</v>
      </c>
      <c r="L235" s="4">
        <v>6806370</v>
      </c>
      <c r="M235" t="s">
        <v>28</v>
      </c>
      <c r="N235" t="s">
        <v>29</v>
      </c>
    </row>
    <row r="236" spans="1:14" hidden="1" x14ac:dyDescent="0.35">
      <c r="A236" t="s">
        <v>11</v>
      </c>
      <c r="B236" t="s">
        <v>12</v>
      </c>
      <c r="C236">
        <v>566</v>
      </c>
      <c r="D236" t="s">
        <v>13</v>
      </c>
      <c r="E236">
        <v>5312</v>
      </c>
      <c r="F236" t="s">
        <v>14</v>
      </c>
      <c r="G236">
        <v>1540</v>
      </c>
      <c r="H236" t="s">
        <v>34</v>
      </c>
      <c r="I236">
        <v>2010</v>
      </c>
      <c r="J236">
        <v>2010</v>
      </c>
      <c r="K236" t="s">
        <v>16</v>
      </c>
      <c r="L236" s="4">
        <v>2868990</v>
      </c>
      <c r="M236" t="s">
        <v>17</v>
      </c>
      <c r="N236" t="s">
        <v>18</v>
      </c>
    </row>
    <row r="237" spans="1:14" x14ac:dyDescent="0.35">
      <c r="A237" t="s">
        <v>11</v>
      </c>
      <c r="B237" t="s">
        <v>12</v>
      </c>
      <c r="C237">
        <v>566</v>
      </c>
      <c r="D237" t="s">
        <v>13</v>
      </c>
      <c r="E237">
        <v>5412</v>
      </c>
      <c r="F237" t="s">
        <v>19</v>
      </c>
      <c r="G237">
        <v>1540</v>
      </c>
      <c r="H237" t="s">
        <v>34</v>
      </c>
      <c r="I237">
        <v>2010</v>
      </c>
      <c r="J237">
        <v>2010</v>
      </c>
      <c r="K237" t="s">
        <v>20</v>
      </c>
      <c r="L237" s="4">
        <v>13010.9</v>
      </c>
      <c r="M237" t="s">
        <v>17</v>
      </c>
      <c r="N237" t="s">
        <v>18</v>
      </c>
    </row>
    <row r="238" spans="1:14" hidden="1" x14ac:dyDescent="0.35">
      <c r="A238" t="s">
        <v>11</v>
      </c>
      <c r="B238" t="s">
        <v>12</v>
      </c>
      <c r="C238">
        <v>566</v>
      </c>
      <c r="D238" t="s">
        <v>13</v>
      </c>
      <c r="E238">
        <v>5510</v>
      </c>
      <c r="F238" t="s">
        <v>21</v>
      </c>
      <c r="G238">
        <v>1540</v>
      </c>
      <c r="H238" t="s">
        <v>34</v>
      </c>
      <c r="I238">
        <v>2010</v>
      </c>
      <c r="J238">
        <v>2010</v>
      </c>
      <c r="K238" t="s">
        <v>22</v>
      </c>
      <c r="L238" s="4">
        <v>37328180</v>
      </c>
      <c r="M238" t="s">
        <v>17</v>
      </c>
      <c r="N238" t="s">
        <v>18</v>
      </c>
    </row>
    <row r="239" spans="1:14" hidden="1" x14ac:dyDescent="0.35">
      <c r="A239" t="s">
        <v>11</v>
      </c>
      <c r="B239" t="s">
        <v>12</v>
      </c>
      <c r="C239">
        <v>566</v>
      </c>
      <c r="D239" t="s">
        <v>13</v>
      </c>
      <c r="E239">
        <v>5312</v>
      </c>
      <c r="F239" t="s">
        <v>14</v>
      </c>
      <c r="G239">
        <v>1540</v>
      </c>
      <c r="H239" t="s">
        <v>34</v>
      </c>
      <c r="I239">
        <v>2011</v>
      </c>
      <c r="J239">
        <v>2011</v>
      </c>
      <c r="K239" t="s">
        <v>16</v>
      </c>
      <c r="L239" s="4">
        <v>4475356</v>
      </c>
      <c r="M239" t="s">
        <v>17</v>
      </c>
      <c r="N239" t="s">
        <v>18</v>
      </c>
    </row>
    <row r="240" spans="1:14" x14ac:dyDescent="0.35">
      <c r="A240" t="s">
        <v>11</v>
      </c>
      <c r="B240" t="s">
        <v>12</v>
      </c>
      <c r="C240">
        <v>566</v>
      </c>
      <c r="D240" t="s">
        <v>13</v>
      </c>
      <c r="E240">
        <v>5412</v>
      </c>
      <c r="F240" t="s">
        <v>19</v>
      </c>
      <c r="G240">
        <v>1540</v>
      </c>
      <c r="H240" t="s">
        <v>34</v>
      </c>
      <c r="I240">
        <v>2011</v>
      </c>
      <c r="J240">
        <v>2011</v>
      </c>
      <c r="K240" t="s">
        <v>20</v>
      </c>
      <c r="L240" s="4">
        <v>7403.7</v>
      </c>
      <c r="M240" t="s">
        <v>17</v>
      </c>
      <c r="N240" t="s">
        <v>18</v>
      </c>
    </row>
    <row r="241" spans="1:14" hidden="1" x14ac:dyDescent="0.35">
      <c r="A241" t="s">
        <v>11</v>
      </c>
      <c r="B241" t="s">
        <v>12</v>
      </c>
      <c r="C241">
        <v>566</v>
      </c>
      <c r="D241" t="s">
        <v>13</v>
      </c>
      <c r="E241">
        <v>5510</v>
      </c>
      <c r="F241" t="s">
        <v>21</v>
      </c>
      <c r="G241">
        <v>1540</v>
      </c>
      <c r="H241" t="s">
        <v>34</v>
      </c>
      <c r="I241">
        <v>2011</v>
      </c>
      <c r="J241">
        <v>2011</v>
      </c>
      <c r="K241" t="s">
        <v>22</v>
      </c>
      <c r="L241" s="4">
        <v>33134172</v>
      </c>
      <c r="M241" t="s">
        <v>17</v>
      </c>
      <c r="N241" t="s">
        <v>18</v>
      </c>
    </row>
    <row r="242" spans="1:14" hidden="1" x14ac:dyDescent="0.35">
      <c r="A242" t="s">
        <v>11</v>
      </c>
      <c r="B242" t="s">
        <v>12</v>
      </c>
      <c r="C242">
        <v>566</v>
      </c>
      <c r="D242" t="s">
        <v>13</v>
      </c>
      <c r="E242">
        <v>5312</v>
      </c>
      <c r="F242" t="s">
        <v>14</v>
      </c>
      <c r="G242">
        <v>1540</v>
      </c>
      <c r="H242" t="s">
        <v>34</v>
      </c>
      <c r="I242">
        <v>2012</v>
      </c>
      <c r="J242">
        <v>2012</v>
      </c>
      <c r="K242" t="s">
        <v>16</v>
      </c>
      <c r="L242" s="4">
        <v>4487946</v>
      </c>
      <c r="M242" t="s">
        <v>17</v>
      </c>
      <c r="N242" t="s">
        <v>18</v>
      </c>
    </row>
    <row r="243" spans="1:14" x14ac:dyDescent="0.35">
      <c r="A243" t="s">
        <v>11</v>
      </c>
      <c r="B243" t="s">
        <v>12</v>
      </c>
      <c r="C243">
        <v>566</v>
      </c>
      <c r="D243" t="s">
        <v>13</v>
      </c>
      <c r="E243">
        <v>5412</v>
      </c>
      <c r="F243" t="s">
        <v>19</v>
      </c>
      <c r="G243">
        <v>1540</v>
      </c>
      <c r="H243" t="s">
        <v>34</v>
      </c>
      <c r="I243">
        <v>2012</v>
      </c>
      <c r="J243">
        <v>2012</v>
      </c>
      <c r="K243" t="s">
        <v>20</v>
      </c>
      <c r="L243" s="4">
        <v>7201.3</v>
      </c>
      <c r="M243" t="s">
        <v>17</v>
      </c>
      <c r="N243" t="s">
        <v>18</v>
      </c>
    </row>
    <row r="244" spans="1:14" hidden="1" x14ac:dyDescent="0.35">
      <c r="A244" t="s">
        <v>11</v>
      </c>
      <c r="B244" t="s">
        <v>12</v>
      </c>
      <c r="C244">
        <v>566</v>
      </c>
      <c r="D244" t="s">
        <v>13</v>
      </c>
      <c r="E244">
        <v>5510</v>
      </c>
      <c r="F244" t="s">
        <v>21</v>
      </c>
      <c r="G244">
        <v>1540</v>
      </c>
      <c r="H244" t="s">
        <v>34</v>
      </c>
      <c r="I244">
        <v>2012</v>
      </c>
      <c r="J244">
        <v>2012</v>
      </c>
      <c r="K244" t="s">
        <v>22</v>
      </c>
      <c r="L244" s="4">
        <v>32318900</v>
      </c>
      <c r="M244" t="s">
        <v>17</v>
      </c>
      <c r="N244" t="s">
        <v>18</v>
      </c>
    </row>
    <row r="245" spans="1:14" hidden="1" x14ac:dyDescent="0.35">
      <c r="A245" t="s">
        <v>11</v>
      </c>
      <c r="B245" t="s">
        <v>12</v>
      </c>
      <c r="C245">
        <v>566</v>
      </c>
      <c r="D245" t="s">
        <v>13</v>
      </c>
      <c r="E245">
        <v>5312</v>
      </c>
      <c r="F245" t="s">
        <v>14</v>
      </c>
      <c r="G245">
        <v>1540</v>
      </c>
      <c r="H245" t="s">
        <v>34</v>
      </c>
      <c r="I245">
        <v>2013</v>
      </c>
      <c r="J245">
        <v>2013</v>
      </c>
      <c r="K245" t="s">
        <v>16</v>
      </c>
      <c r="L245" s="4">
        <v>5088300</v>
      </c>
      <c r="M245" t="s">
        <v>17</v>
      </c>
      <c r="N245" t="s">
        <v>18</v>
      </c>
    </row>
    <row r="246" spans="1:14" x14ac:dyDescent="0.35">
      <c r="A246" t="s">
        <v>11</v>
      </c>
      <c r="B246" t="s">
        <v>12</v>
      </c>
      <c r="C246">
        <v>566</v>
      </c>
      <c r="D246" t="s">
        <v>13</v>
      </c>
      <c r="E246">
        <v>5412</v>
      </c>
      <c r="F246" t="s">
        <v>19</v>
      </c>
      <c r="G246">
        <v>1540</v>
      </c>
      <c r="H246" t="s">
        <v>34</v>
      </c>
      <c r="I246">
        <v>2013</v>
      </c>
      <c r="J246">
        <v>2013</v>
      </c>
      <c r="K246" t="s">
        <v>20</v>
      </c>
      <c r="L246" s="4">
        <v>7000.1</v>
      </c>
      <c r="M246" t="s">
        <v>17</v>
      </c>
      <c r="N246" t="s">
        <v>18</v>
      </c>
    </row>
    <row r="247" spans="1:14" hidden="1" x14ac:dyDescent="0.35">
      <c r="A247" t="s">
        <v>11</v>
      </c>
      <c r="B247" t="s">
        <v>12</v>
      </c>
      <c r="C247">
        <v>566</v>
      </c>
      <c r="D247" t="s">
        <v>13</v>
      </c>
      <c r="E247">
        <v>5510</v>
      </c>
      <c r="F247" t="s">
        <v>21</v>
      </c>
      <c r="G247">
        <v>1540</v>
      </c>
      <c r="H247" t="s">
        <v>34</v>
      </c>
      <c r="I247">
        <v>2013</v>
      </c>
      <c r="J247">
        <v>2013</v>
      </c>
      <c r="K247" t="s">
        <v>22</v>
      </c>
      <c r="L247" s="4">
        <v>35618420</v>
      </c>
      <c r="M247" t="s">
        <v>17</v>
      </c>
      <c r="N247" t="s">
        <v>18</v>
      </c>
    </row>
    <row r="248" spans="1:14" hidden="1" x14ac:dyDescent="0.35">
      <c r="A248" t="s">
        <v>11</v>
      </c>
      <c r="B248" t="s">
        <v>12</v>
      </c>
      <c r="C248">
        <v>566</v>
      </c>
      <c r="D248" t="s">
        <v>13</v>
      </c>
      <c r="E248">
        <v>5312</v>
      </c>
      <c r="F248" t="s">
        <v>14</v>
      </c>
      <c r="G248">
        <v>1540</v>
      </c>
      <c r="H248" t="s">
        <v>34</v>
      </c>
      <c r="I248">
        <v>2014</v>
      </c>
      <c r="J248">
        <v>2014</v>
      </c>
      <c r="K248" t="s">
        <v>16</v>
      </c>
      <c r="L248" s="4">
        <v>5333871</v>
      </c>
      <c r="M248" t="s">
        <v>17</v>
      </c>
      <c r="N248" t="s">
        <v>18</v>
      </c>
    </row>
    <row r="249" spans="1:14" x14ac:dyDescent="0.35">
      <c r="A249" t="s">
        <v>11</v>
      </c>
      <c r="B249" t="s">
        <v>12</v>
      </c>
      <c r="C249">
        <v>566</v>
      </c>
      <c r="D249" t="s">
        <v>13</v>
      </c>
      <c r="E249">
        <v>5412</v>
      </c>
      <c r="F249" t="s">
        <v>19</v>
      </c>
      <c r="G249">
        <v>1540</v>
      </c>
      <c r="H249" t="s">
        <v>34</v>
      </c>
      <c r="I249">
        <v>2014</v>
      </c>
      <c r="J249">
        <v>2014</v>
      </c>
      <c r="K249" t="s">
        <v>20</v>
      </c>
      <c r="L249" s="4">
        <v>8194.7999999999993</v>
      </c>
      <c r="M249" t="s">
        <v>17</v>
      </c>
      <c r="N249" t="s">
        <v>18</v>
      </c>
    </row>
    <row r="250" spans="1:14" hidden="1" x14ac:dyDescent="0.35">
      <c r="A250" t="s">
        <v>11</v>
      </c>
      <c r="B250" t="s">
        <v>12</v>
      </c>
      <c r="C250">
        <v>566</v>
      </c>
      <c r="D250" t="s">
        <v>13</v>
      </c>
      <c r="E250">
        <v>5510</v>
      </c>
      <c r="F250" t="s">
        <v>21</v>
      </c>
      <c r="G250">
        <v>1540</v>
      </c>
      <c r="H250" t="s">
        <v>34</v>
      </c>
      <c r="I250">
        <v>2014</v>
      </c>
      <c r="J250">
        <v>2014</v>
      </c>
      <c r="K250" t="s">
        <v>22</v>
      </c>
      <c r="L250" s="4">
        <v>43709800</v>
      </c>
      <c r="M250" t="s">
        <v>17</v>
      </c>
      <c r="N250" t="s">
        <v>18</v>
      </c>
    </row>
    <row r="251" spans="1:14" hidden="1" x14ac:dyDescent="0.35">
      <c r="A251" t="s">
        <v>11</v>
      </c>
      <c r="B251" t="s">
        <v>12</v>
      </c>
      <c r="C251">
        <v>566</v>
      </c>
      <c r="D251" t="s">
        <v>13</v>
      </c>
      <c r="E251">
        <v>5312</v>
      </c>
      <c r="F251" t="s">
        <v>14</v>
      </c>
      <c r="G251">
        <v>1540</v>
      </c>
      <c r="H251" t="s">
        <v>34</v>
      </c>
      <c r="I251">
        <v>2015</v>
      </c>
      <c r="J251">
        <v>2015</v>
      </c>
      <c r="K251" t="s">
        <v>16</v>
      </c>
      <c r="L251" s="4">
        <v>5389870</v>
      </c>
      <c r="M251" t="s">
        <v>17</v>
      </c>
      <c r="N251" t="s">
        <v>18</v>
      </c>
    </row>
    <row r="252" spans="1:14" x14ac:dyDescent="0.35">
      <c r="A252" t="s">
        <v>11</v>
      </c>
      <c r="B252" t="s">
        <v>12</v>
      </c>
      <c r="C252">
        <v>566</v>
      </c>
      <c r="D252" t="s">
        <v>13</v>
      </c>
      <c r="E252">
        <v>5412</v>
      </c>
      <c r="F252" t="s">
        <v>19</v>
      </c>
      <c r="G252">
        <v>1540</v>
      </c>
      <c r="H252" t="s">
        <v>34</v>
      </c>
      <c r="I252">
        <v>2015</v>
      </c>
      <c r="J252">
        <v>2015</v>
      </c>
      <c r="K252" t="s">
        <v>20</v>
      </c>
      <c r="L252" s="4">
        <v>8182.7</v>
      </c>
      <c r="M252" t="s">
        <v>17</v>
      </c>
      <c r="N252" t="s">
        <v>18</v>
      </c>
    </row>
    <row r="253" spans="1:14" hidden="1" x14ac:dyDescent="0.35">
      <c r="A253" t="s">
        <v>11</v>
      </c>
      <c r="B253" t="s">
        <v>12</v>
      </c>
      <c r="C253">
        <v>566</v>
      </c>
      <c r="D253" t="s">
        <v>13</v>
      </c>
      <c r="E253">
        <v>5510</v>
      </c>
      <c r="F253" t="s">
        <v>21</v>
      </c>
      <c r="G253">
        <v>1540</v>
      </c>
      <c r="H253" t="s">
        <v>34</v>
      </c>
      <c r="I253">
        <v>2015</v>
      </c>
      <c r="J253">
        <v>2015</v>
      </c>
      <c r="K253" t="s">
        <v>22</v>
      </c>
      <c r="L253" s="4">
        <v>44103900</v>
      </c>
      <c r="M253" t="s">
        <v>17</v>
      </c>
      <c r="N253" t="s">
        <v>18</v>
      </c>
    </row>
    <row r="254" spans="1:14" hidden="1" x14ac:dyDescent="0.35">
      <c r="A254" t="s">
        <v>11</v>
      </c>
      <c r="B254" t="s">
        <v>12</v>
      </c>
      <c r="C254">
        <v>566</v>
      </c>
      <c r="D254" t="s">
        <v>13</v>
      </c>
      <c r="E254">
        <v>5312</v>
      </c>
      <c r="F254" t="s">
        <v>14</v>
      </c>
      <c r="G254">
        <v>1540</v>
      </c>
      <c r="H254" t="s">
        <v>34</v>
      </c>
      <c r="I254">
        <v>2016</v>
      </c>
      <c r="J254">
        <v>2016</v>
      </c>
      <c r="K254" t="s">
        <v>16</v>
      </c>
      <c r="L254" s="4">
        <v>5347483</v>
      </c>
      <c r="M254" t="s">
        <v>17</v>
      </c>
      <c r="N254" t="s">
        <v>18</v>
      </c>
    </row>
    <row r="255" spans="1:14" x14ac:dyDescent="0.35">
      <c r="A255" t="s">
        <v>11</v>
      </c>
      <c r="B255" t="s">
        <v>12</v>
      </c>
      <c r="C255">
        <v>566</v>
      </c>
      <c r="D255" t="s">
        <v>13</v>
      </c>
      <c r="E255">
        <v>5412</v>
      </c>
      <c r="F255" t="s">
        <v>19</v>
      </c>
      <c r="G255">
        <v>1540</v>
      </c>
      <c r="H255" t="s">
        <v>34</v>
      </c>
      <c r="I255">
        <v>2016</v>
      </c>
      <c r="J255">
        <v>2016</v>
      </c>
      <c r="K255" t="s">
        <v>20</v>
      </c>
      <c r="L255" s="4">
        <v>9159.9</v>
      </c>
      <c r="M255" t="s">
        <v>17</v>
      </c>
      <c r="N255" t="s">
        <v>18</v>
      </c>
    </row>
    <row r="256" spans="1:14" hidden="1" x14ac:dyDescent="0.35">
      <c r="A256" t="s">
        <v>11</v>
      </c>
      <c r="B256" t="s">
        <v>12</v>
      </c>
      <c r="C256">
        <v>566</v>
      </c>
      <c r="D256" t="s">
        <v>13</v>
      </c>
      <c r="E256">
        <v>5510</v>
      </c>
      <c r="F256" t="s">
        <v>21</v>
      </c>
      <c r="G256">
        <v>1540</v>
      </c>
      <c r="H256" t="s">
        <v>34</v>
      </c>
      <c r="I256">
        <v>2016</v>
      </c>
      <c r="J256">
        <v>2016</v>
      </c>
      <c r="K256" t="s">
        <v>22</v>
      </c>
      <c r="L256" s="4">
        <v>48982621</v>
      </c>
      <c r="M256" t="s">
        <v>17</v>
      </c>
      <c r="N256" t="s">
        <v>18</v>
      </c>
    </row>
    <row r="257" spans="1:14" hidden="1" x14ac:dyDescent="0.35">
      <c r="A257" t="s">
        <v>11</v>
      </c>
      <c r="B257" t="s">
        <v>12</v>
      </c>
      <c r="C257">
        <v>566</v>
      </c>
      <c r="D257" t="s">
        <v>13</v>
      </c>
      <c r="E257">
        <v>5312</v>
      </c>
      <c r="F257" t="s">
        <v>14</v>
      </c>
      <c r="G257">
        <v>1540</v>
      </c>
      <c r="H257" t="s">
        <v>34</v>
      </c>
      <c r="I257">
        <v>2017</v>
      </c>
      <c r="J257">
        <v>2017</v>
      </c>
      <c r="K257" t="s">
        <v>16</v>
      </c>
      <c r="L257" s="4">
        <v>5276098</v>
      </c>
      <c r="M257" t="s">
        <v>17</v>
      </c>
      <c r="N257" t="s">
        <v>18</v>
      </c>
    </row>
    <row r="258" spans="1:14" x14ac:dyDescent="0.35">
      <c r="A258" t="s">
        <v>11</v>
      </c>
      <c r="B258" t="s">
        <v>12</v>
      </c>
      <c r="C258">
        <v>566</v>
      </c>
      <c r="D258" t="s">
        <v>13</v>
      </c>
      <c r="E258">
        <v>5412</v>
      </c>
      <c r="F258" t="s">
        <v>19</v>
      </c>
      <c r="G258">
        <v>1540</v>
      </c>
      <c r="H258" t="s">
        <v>34</v>
      </c>
      <c r="I258">
        <v>2017</v>
      </c>
      <c r="J258">
        <v>2017</v>
      </c>
      <c r="K258" t="s">
        <v>20</v>
      </c>
      <c r="L258" s="4">
        <v>9385.6</v>
      </c>
      <c r="M258" t="s">
        <v>17</v>
      </c>
      <c r="N258" t="s">
        <v>18</v>
      </c>
    </row>
    <row r="259" spans="1:14" hidden="1" x14ac:dyDescent="0.35">
      <c r="A259" t="s">
        <v>11</v>
      </c>
      <c r="B259" t="s">
        <v>12</v>
      </c>
      <c r="C259">
        <v>566</v>
      </c>
      <c r="D259" t="s">
        <v>13</v>
      </c>
      <c r="E259">
        <v>5510</v>
      </c>
      <c r="F259" t="s">
        <v>21</v>
      </c>
      <c r="G259">
        <v>1540</v>
      </c>
      <c r="H259" t="s">
        <v>34</v>
      </c>
      <c r="I259">
        <v>2017</v>
      </c>
      <c r="J259">
        <v>2017</v>
      </c>
      <c r="K259" t="s">
        <v>22</v>
      </c>
      <c r="L259" s="4">
        <v>49519100</v>
      </c>
      <c r="M259" t="s">
        <v>17</v>
      </c>
      <c r="N259" t="s">
        <v>18</v>
      </c>
    </row>
    <row r="260" spans="1:14" hidden="1" x14ac:dyDescent="0.35">
      <c r="A260" t="s">
        <v>11</v>
      </c>
      <c r="B260" t="s">
        <v>12</v>
      </c>
      <c r="C260">
        <v>566</v>
      </c>
      <c r="D260" t="s">
        <v>13</v>
      </c>
      <c r="E260">
        <v>5312</v>
      </c>
      <c r="F260" t="s">
        <v>14</v>
      </c>
      <c r="G260">
        <v>1540</v>
      </c>
      <c r="H260" t="s">
        <v>34</v>
      </c>
      <c r="I260">
        <v>2018</v>
      </c>
      <c r="J260">
        <v>2018</v>
      </c>
      <c r="K260" t="s">
        <v>16</v>
      </c>
      <c r="L260" s="4">
        <v>5427899</v>
      </c>
      <c r="M260" t="s">
        <v>17</v>
      </c>
      <c r="N260" t="s">
        <v>18</v>
      </c>
    </row>
    <row r="261" spans="1:14" x14ac:dyDescent="0.35">
      <c r="A261" t="s">
        <v>11</v>
      </c>
      <c r="B261" t="s">
        <v>12</v>
      </c>
      <c r="C261">
        <v>566</v>
      </c>
      <c r="D261" t="s">
        <v>13</v>
      </c>
      <c r="E261">
        <v>5412</v>
      </c>
      <c r="F261" t="s">
        <v>19</v>
      </c>
      <c r="G261">
        <v>1540</v>
      </c>
      <c r="H261" t="s">
        <v>34</v>
      </c>
      <c r="I261">
        <v>2018</v>
      </c>
      <c r="J261">
        <v>2018</v>
      </c>
      <c r="K261" t="s">
        <v>20</v>
      </c>
      <c r="L261" s="4">
        <v>10199.9</v>
      </c>
      <c r="M261" t="s">
        <v>17</v>
      </c>
      <c r="N261" t="s">
        <v>18</v>
      </c>
    </row>
    <row r="262" spans="1:14" hidden="1" x14ac:dyDescent="0.35">
      <c r="A262" t="s">
        <v>11</v>
      </c>
      <c r="B262" t="s">
        <v>12</v>
      </c>
      <c r="C262">
        <v>566</v>
      </c>
      <c r="D262" t="s">
        <v>13</v>
      </c>
      <c r="E262">
        <v>5510</v>
      </c>
      <c r="F262" t="s">
        <v>21</v>
      </c>
      <c r="G262">
        <v>1540</v>
      </c>
      <c r="H262" t="s">
        <v>34</v>
      </c>
      <c r="I262">
        <v>2018</v>
      </c>
      <c r="J262">
        <v>2018</v>
      </c>
      <c r="K262" t="s">
        <v>22</v>
      </c>
      <c r="L262" s="4">
        <v>55363999</v>
      </c>
      <c r="M262" t="s">
        <v>17</v>
      </c>
      <c r="N262" t="s">
        <v>18</v>
      </c>
    </row>
    <row r="263" spans="1:14" hidden="1" x14ac:dyDescent="0.35">
      <c r="A263" t="s">
        <v>11</v>
      </c>
      <c r="B263" t="s">
        <v>12</v>
      </c>
      <c r="C263">
        <v>566</v>
      </c>
      <c r="D263" t="s">
        <v>13</v>
      </c>
      <c r="E263">
        <v>5312</v>
      </c>
      <c r="F263" t="s">
        <v>14</v>
      </c>
      <c r="G263">
        <v>1540</v>
      </c>
      <c r="H263" t="s">
        <v>34</v>
      </c>
      <c r="I263">
        <v>2019</v>
      </c>
      <c r="J263">
        <v>2019</v>
      </c>
      <c r="K263" t="s">
        <v>16</v>
      </c>
      <c r="L263" s="4">
        <v>6778080</v>
      </c>
      <c r="M263" t="s">
        <v>17</v>
      </c>
      <c r="N263" t="s">
        <v>18</v>
      </c>
    </row>
    <row r="264" spans="1:14" x14ac:dyDescent="0.35">
      <c r="A264" t="s">
        <v>11</v>
      </c>
      <c r="B264" t="s">
        <v>12</v>
      </c>
      <c r="C264">
        <v>566</v>
      </c>
      <c r="D264" t="s">
        <v>13</v>
      </c>
      <c r="E264">
        <v>5412</v>
      </c>
      <c r="F264" t="s">
        <v>19</v>
      </c>
      <c r="G264">
        <v>1540</v>
      </c>
      <c r="H264" t="s">
        <v>34</v>
      </c>
      <c r="I264">
        <v>2019</v>
      </c>
      <c r="J264">
        <v>2019</v>
      </c>
      <c r="K264" t="s">
        <v>20</v>
      </c>
      <c r="L264" s="4">
        <v>7806.8</v>
      </c>
      <c r="M264" t="s">
        <v>17</v>
      </c>
      <c r="N264" t="s">
        <v>18</v>
      </c>
    </row>
    <row r="265" spans="1:14" hidden="1" x14ac:dyDescent="0.35">
      <c r="A265" t="s">
        <v>11</v>
      </c>
      <c r="B265" t="s">
        <v>12</v>
      </c>
      <c r="C265">
        <v>566</v>
      </c>
      <c r="D265" t="s">
        <v>13</v>
      </c>
      <c r="E265">
        <v>5510</v>
      </c>
      <c r="F265" t="s">
        <v>21</v>
      </c>
      <c r="G265">
        <v>1540</v>
      </c>
      <c r="H265" t="s">
        <v>34</v>
      </c>
      <c r="I265">
        <v>2019</v>
      </c>
      <c r="J265">
        <v>2019</v>
      </c>
      <c r="K265" t="s">
        <v>22</v>
      </c>
      <c r="L265" s="4">
        <v>52914910</v>
      </c>
      <c r="M265" t="s">
        <v>17</v>
      </c>
      <c r="N265" t="s">
        <v>18</v>
      </c>
    </row>
    <row r="266" spans="1:14" hidden="1" x14ac:dyDescent="0.35">
      <c r="A266" t="s">
        <v>11</v>
      </c>
      <c r="B266" t="s">
        <v>12</v>
      </c>
      <c r="C266">
        <v>566</v>
      </c>
      <c r="D266" t="s">
        <v>13</v>
      </c>
      <c r="E266">
        <v>5312</v>
      </c>
      <c r="F266" t="s">
        <v>14</v>
      </c>
      <c r="G266">
        <v>1540</v>
      </c>
      <c r="H266" t="s">
        <v>34</v>
      </c>
      <c r="I266">
        <v>2020</v>
      </c>
      <c r="J266">
        <v>2020</v>
      </c>
      <c r="K266" t="s">
        <v>16</v>
      </c>
      <c r="L266" s="4">
        <v>7128080</v>
      </c>
      <c r="M266" t="s">
        <v>17</v>
      </c>
      <c r="N266" t="s">
        <v>18</v>
      </c>
    </row>
    <row r="267" spans="1:14" x14ac:dyDescent="0.35">
      <c r="A267" t="s">
        <v>11</v>
      </c>
      <c r="B267" t="s">
        <v>12</v>
      </c>
      <c r="C267">
        <v>566</v>
      </c>
      <c r="D267" t="s">
        <v>13</v>
      </c>
      <c r="E267">
        <v>5412</v>
      </c>
      <c r="F267" t="s">
        <v>19</v>
      </c>
      <c r="G267">
        <v>1540</v>
      </c>
      <c r="H267" t="s">
        <v>34</v>
      </c>
      <c r="I267">
        <v>2020</v>
      </c>
      <c r="J267">
        <v>2020</v>
      </c>
      <c r="K267" t="s">
        <v>20</v>
      </c>
      <c r="L267" s="4">
        <v>7904.7</v>
      </c>
      <c r="M267" t="s">
        <v>17</v>
      </c>
      <c r="N267" t="s">
        <v>18</v>
      </c>
    </row>
    <row r="268" spans="1:14" hidden="1" x14ac:dyDescent="0.35">
      <c r="A268" t="s">
        <v>11</v>
      </c>
      <c r="B268" t="s">
        <v>12</v>
      </c>
      <c r="C268">
        <v>566</v>
      </c>
      <c r="D268" t="s">
        <v>13</v>
      </c>
      <c r="E268">
        <v>5510</v>
      </c>
      <c r="F268" t="s">
        <v>21</v>
      </c>
      <c r="G268">
        <v>1540</v>
      </c>
      <c r="H268" t="s">
        <v>34</v>
      </c>
      <c r="I268">
        <v>2020</v>
      </c>
      <c r="J268">
        <v>2020</v>
      </c>
      <c r="K268" t="s">
        <v>22</v>
      </c>
      <c r="L268" s="4">
        <v>56345530</v>
      </c>
      <c r="M268" t="s">
        <v>17</v>
      </c>
      <c r="N268" t="s">
        <v>18</v>
      </c>
    </row>
    <row r="269" spans="1:14" hidden="1" x14ac:dyDescent="0.35">
      <c r="A269" t="s">
        <v>11</v>
      </c>
      <c r="B269" t="s">
        <v>12</v>
      </c>
      <c r="C269">
        <v>566</v>
      </c>
      <c r="D269" t="s">
        <v>13</v>
      </c>
      <c r="E269">
        <v>5312</v>
      </c>
      <c r="F269" t="s">
        <v>14</v>
      </c>
      <c r="G269">
        <v>1540</v>
      </c>
      <c r="H269" t="s">
        <v>34</v>
      </c>
      <c r="I269">
        <v>2021</v>
      </c>
      <c r="J269">
        <v>2021</v>
      </c>
      <c r="K269" t="s">
        <v>16</v>
      </c>
      <c r="L269" s="4">
        <v>7498130</v>
      </c>
      <c r="M269" t="s">
        <v>17</v>
      </c>
      <c r="N269" t="s">
        <v>18</v>
      </c>
    </row>
    <row r="270" spans="1:14" x14ac:dyDescent="0.35">
      <c r="A270" t="s">
        <v>11</v>
      </c>
      <c r="B270" t="s">
        <v>12</v>
      </c>
      <c r="C270">
        <v>566</v>
      </c>
      <c r="D270" t="s">
        <v>13</v>
      </c>
      <c r="E270">
        <v>5412</v>
      </c>
      <c r="F270" t="s">
        <v>19</v>
      </c>
      <c r="G270">
        <v>1540</v>
      </c>
      <c r="H270" t="s">
        <v>34</v>
      </c>
      <c r="I270">
        <v>2021</v>
      </c>
      <c r="J270">
        <v>2021</v>
      </c>
      <c r="K270" t="s">
        <v>20</v>
      </c>
      <c r="L270" s="4">
        <v>7986.5</v>
      </c>
      <c r="M270" t="s">
        <v>17</v>
      </c>
      <c r="N270" t="s">
        <v>18</v>
      </c>
    </row>
    <row r="271" spans="1:14" hidden="1" x14ac:dyDescent="0.35">
      <c r="A271" t="s">
        <v>11</v>
      </c>
      <c r="B271" t="s">
        <v>12</v>
      </c>
      <c r="C271">
        <v>566</v>
      </c>
      <c r="D271" t="s">
        <v>13</v>
      </c>
      <c r="E271">
        <v>5510</v>
      </c>
      <c r="F271" t="s">
        <v>21</v>
      </c>
      <c r="G271">
        <v>1540</v>
      </c>
      <c r="H271" t="s">
        <v>34</v>
      </c>
      <c r="I271">
        <v>2021</v>
      </c>
      <c r="J271">
        <v>2021</v>
      </c>
      <c r="K271" t="s">
        <v>22</v>
      </c>
      <c r="L271" s="4">
        <v>59884050</v>
      </c>
      <c r="M271" t="s">
        <v>17</v>
      </c>
      <c r="N271" t="s">
        <v>18</v>
      </c>
    </row>
    <row r="272" spans="1:14" hidden="1" x14ac:dyDescent="0.35">
      <c r="A272" t="s">
        <v>11</v>
      </c>
      <c r="B272" t="s">
        <v>12</v>
      </c>
      <c r="C272">
        <v>566</v>
      </c>
      <c r="D272" t="s">
        <v>13</v>
      </c>
      <c r="E272">
        <v>5312</v>
      </c>
      <c r="F272" t="s">
        <v>14</v>
      </c>
      <c r="G272">
        <v>1540</v>
      </c>
      <c r="H272" t="s">
        <v>34</v>
      </c>
      <c r="I272">
        <v>2022</v>
      </c>
      <c r="J272">
        <v>2022</v>
      </c>
      <c r="K272" t="s">
        <v>16</v>
      </c>
      <c r="L272" s="4">
        <v>7467286</v>
      </c>
      <c r="M272" t="s">
        <v>23</v>
      </c>
      <c r="N272" t="s">
        <v>24</v>
      </c>
    </row>
    <row r="273" spans="1:14" x14ac:dyDescent="0.35">
      <c r="A273" t="s">
        <v>11</v>
      </c>
      <c r="B273" t="s">
        <v>12</v>
      </c>
      <c r="C273">
        <v>566</v>
      </c>
      <c r="D273" t="s">
        <v>13</v>
      </c>
      <c r="E273">
        <v>5412</v>
      </c>
      <c r="F273" t="s">
        <v>19</v>
      </c>
      <c r="G273">
        <v>1540</v>
      </c>
      <c r="H273" t="s">
        <v>34</v>
      </c>
      <c r="I273">
        <v>2022</v>
      </c>
      <c r="J273">
        <v>2022</v>
      </c>
      <c r="K273" t="s">
        <v>20</v>
      </c>
      <c r="L273" s="4">
        <v>8182.4</v>
      </c>
      <c r="M273" t="s">
        <v>25</v>
      </c>
      <c r="N273" t="s">
        <v>26</v>
      </c>
    </row>
    <row r="274" spans="1:14" hidden="1" x14ac:dyDescent="0.35">
      <c r="A274" t="s">
        <v>11</v>
      </c>
      <c r="B274" t="s">
        <v>12</v>
      </c>
      <c r="C274">
        <v>566</v>
      </c>
      <c r="D274" t="s">
        <v>13</v>
      </c>
      <c r="E274">
        <v>5510</v>
      </c>
      <c r="F274" t="s">
        <v>21</v>
      </c>
      <c r="G274">
        <v>1540</v>
      </c>
      <c r="H274" t="s">
        <v>34</v>
      </c>
      <c r="I274">
        <v>2022</v>
      </c>
      <c r="J274">
        <v>2022</v>
      </c>
      <c r="K274" t="s">
        <v>22</v>
      </c>
      <c r="L274" s="4">
        <v>61100194.520000003</v>
      </c>
      <c r="M274" t="s">
        <v>23</v>
      </c>
      <c r="N274" t="s">
        <v>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43073-D67E-44A6-9310-27CBE394A4FD}">
  <sheetPr>
    <tabColor rgb="FF00B050"/>
  </sheetPr>
  <dimension ref="A3:J34"/>
  <sheetViews>
    <sheetView workbookViewId="0">
      <selection activeCell="A21" sqref="A21:I33"/>
    </sheetView>
  </sheetViews>
  <sheetFormatPr defaultRowHeight="14.5" x14ac:dyDescent="0.35"/>
  <cols>
    <col min="1" max="1" width="25.36328125" bestFit="1" customWidth="1"/>
    <col min="2" max="2" width="14.54296875" bestFit="1" customWidth="1"/>
    <col min="3" max="3" width="26.7265625" bestFit="1" customWidth="1"/>
    <col min="4" max="9" width="11.81640625" bestFit="1" customWidth="1"/>
  </cols>
  <sheetData>
    <row r="3" spans="1:2" x14ac:dyDescent="0.35">
      <c r="A3" s="2" t="s">
        <v>36</v>
      </c>
      <c r="B3" t="s">
        <v>40</v>
      </c>
    </row>
    <row r="4" spans="1:2" x14ac:dyDescent="0.35">
      <c r="A4" s="3" t="s">
        <v>15</v>
      </c>
      <c r="B4">
        <v>20866996.034871798</v>
      </c>
    </row>
    <row r="5" spans="1:2" x14ac:dyDescent="0.35">
      <c r="A5" s="3" t="s">
        <v>27</v>
      </c>
      <c r="B5">
        <v>2340760.87974359</v>
      </c>
    </row>
    <row r="6" spans="1:2" x14ac:dyDescent="0.35">
      <c r="A6" s="3" t="s">
        <v>30</v>
      </c>
      <c r="B6">
        <v>5474646.2128205122</v>
      </c>
    </row>
    <row r="7" spans="1:2" x14ac:dyDescent="0.35">
      <c r="A7" s="3" t="s">
        <v>31</v>
      </c>
      <c r="B7">
        <v>1301629.2282051281</v>
      </c>
    </row>
    <row r="8" spans="1:2" x14ac:dyDescent="0.35">
      <c r="A8" s="3" t="s">
        <v>32</v>
      </c>
      <c r="B8">
        <v>3546756.8666666672</v>
      </c>
    </row>
    <row r="9" spans="1:2" x14ac:dyDescent="0.35">
      <c r="A9" s="3" t="s">
        <v>33</v>
      </c>
      <c r="B9">
        <v>4037843.1743589737</v>
      </c>
    </row>
    <row r="10" spans="1:2" x14ac:dyDescent="0.35">
      <c r="A10" s="3" t="s">
        <v>34</v>
      </c>
      <c r="B10">
        <v>17512891.918461535</v>
      </c>
    </row>
    <row r="11" spans="1:2" x14ac:dyDescent="0.35">
      <c r="A11" s="3" t="s">
        <v>37</v>
      </c>
      <c r="B11">
        <v>7868789.1878754599</v>
      </c>
    </row>
    <row r="19" spans="1:10" x14ac:dyDescent="0.35">
      <c r="A19" s="2" t="s">
        <v>40</v>
      </c>
      <c r="B19" s="2" t="s">
        <v>42</v>
      </c>
    </row>
    <row r="20" spans="1:10" x14ac:dyDescent="0.35">
      <c r="A20" s="2" t="s">
        <v>36</v>
      </c>
      <c r="B20" t="s">
        <v>15</v>
      </c>
      <c r="C20" t="s">
        <v>27</v>
      </c>
      <c r="D20" t="s">
        <v>30</v>
      </c>
      <c r="E20" t="s">
        <v>31</v>
      </c>
      <c r="F20" t="s">
        <v>32</v>
      </c>
      <c r="G20" t="s">
        <v>33</v>
      </c>
      <c r="H20" t="s">
        <v>34</v>
      </c>
      <c r="I20" t="s">
        <v>37</v>
      </c>
      <c r="J20" t="s">
        <v>41</v>
      </c>
    </row>
    <row r="21" spans="1:10" x14ac:dyDescent="0.35">
      <c r="A21" s="3">
        <v>2010</v>
      </c>
      <c r="B21">
        <v>15342431.833333334</v>
      </c>
      <c r="C21">
        <v>2196594.0333333332</v>
      </c>
      <c r="D21">
        <v>3942670.0666666664</v>
      </c>
      <c r="E21">
        <v>3178584.9333333336</v>
      </c>
      <c r="F21">
        <v>2302329.5333333332</v>
      </c>
      <c r="G21">
        <v>4034179.9</v>
      </c>
      <c r="H21">
        <v>13403393.633333333</v>
      </c>
      <c r="I21">
        <v>6342883.4190476192</v>
      </c>
    </row>
    <row r="22" spans="1:10" x14ac:dyDescent="0.35">
      <c r="A22" s="3">
        <v>2011</v>
      </c>
      <c r="B22">
        <v>16773874.933333332</v>
      </c>
      <c r="C22">
        <v>1772521.9000000001</v>
      </c>
      <c r="D22">
        <v>4778874.3666666662</v>
      </c>
      <c r="E22">
        <v>1366303.2333333334</v>
      </c>
      <c r="F22">
        <v>2294685.5</v>
      </c>
      <c r="G22">
        <v>3451077.5333333332</v>
      </c>
      <c r="H22">
        <v>12538977.233333334</v>
      </c>
      <c r="I22">
        <v>6139473.5285714287</v>
      </c>
    </row>
    <row r="23" spans="1:10" x14ac:dyDescent="0.35">
      <c r="A23" s="3">
        <v>2012</v>
      </c>
      <c r="B23">
        <v>19120082.166666668</v>
      </c>
      <c r="C23">
        <v>1991515.2666666666</v>
      </c>
      <c r="D23">
        <v>4815903.9333333336</v>
      </c>
      <c r="E23">
        <v>869954.7333333334</v>
      </c>
      <c r="F23">
        <v>2766214.0333333332</v>
      </c>
      <c r="G23">
        <v>3646075.1666666665</v>
      </c>
      <c r="H23">
        <v>12271349.1</v>
      </c>
      <c r="I23">
        <v>6497299.1999999993</v>
      </c>
    </row>
    <row r="24" spans="1:10" x14ac:dyDescent="0.35">
      <c r="A24" s="3">
        <v>2013</v>
      </c>
      <c r="B24">
        <v>18051700.766666666</v>
      </c>
      <c r="C24">
        <v>1736045.1666666667</v>
      </c>
      <c r="D24">
        <v>4728943.8666666662</v>
      </c>
      <c r="E24">
        <v>798457.46666666667</v>
      </c>
      <c r="F24">
        <v>2917328.1666666665</v>
      </c>
      <c r="G24">
        <v>3583480.9</v>
      </c>
      <c r="H24">
        <v>13571240.033333333</v>
      </c>
      <c r="I24">
        <v>6483885.1952380966</v>
      </c>
    </row>
    <row r="25" spans="1:10" x14ac:dyDescent="0.35">
      <c r="A25" s="3">
        <v>2014</v>
      </c>
      <c r="B25">
        <v>20476218.466666665</v>
      </c>
      <c r="C25">
        <v>2066715.0333333332</v>
      </c>
      <c r="D25">
        <v>5712950.3999999994</v>
      </c>
      <c r="E25">
        <v>1140590.8666666667</v>
      </c>
      <c r="F25">
        <v>3262686.9666666668</v>
      </c>
      <c r="G25">
        <v>4195553.7</v>
      </c>
      <c r="H25">
        <v>16350621.933333332</v>
      </c>
      <c r="I25">
        <v>7600762.4809523802</v>
      </c>
    </row>
    <row r="26" spans="1:10" x14ac:dyDescent="0.35">
      <c r="A26" s="3">
        <v>2015</v>
      </c>
      <c r="B26">
        <v>21770985.300000001</v>
      </c>
      <c r="C26">
        <v>2090146.5333333332</v>
      </c>
      <c r="D26">
        <v>5030756.2666666666</v>
      </c>
      <c r="E26">
        <v>1183883.4333333333</v>
      </c>
      <c r="F26">
        <v>3742224.7333333329</v>
      </c>
      <c r="G26">
        <v>4301782.166666667</v>
      </c>
      <c r="H26">
        <v>16500650.9</v>
      </c>
      <c r="I26">
        <v>7802918.4761904757</v>
      </c>
    </row>
    <row r="27" spans="1:10" x14ac:dyDescent="0.35">
      <c r="A27" s="3">
        <v>2016</v>
      </c>
      <c r="B27">
        <v>22402645.433333334</v>
      </c>
      <c r="C27">
        <v>2606823.5666666669</v>
      </c>
      <c r="D27">
        <v>5479676.5666666664</v>
      </c>
      <c r="E27">
        <v>1075301.9333333333</v>
      </c>
      <c r="F27">
        <v>3904367.9</v>
      </c>
      <c r="G27">
        <v>4343155.6333333338</v>
      </c>
      <c r="H27">
        <v>18113087.966666665</v>
      </c>
      <c r="I27">
        <v>8275008.4285714282</v>
      </c>
    </row>
    <row r="28" spans="1:10" x14ac:dyDescent="0.35">
      <c r="A28" s="3">
        <v>2017</v>
      </c>
      <c r="B28">
        <v>22706874.233333334</v>
      </c>
      <c r="C28">
        <v>2706519.0333333332</v>
      </c>
      <c r="D28">
        <v>5674419.7000000002</v>
      </c>
      <c r="E28">
        <v>1109722.6666666667</v>
      </c>
      <c r="F28">
        <v>3867393.6666666665</v>
      </c>
      <c r="G28">
        <v>4253397.4333333336</v>
      </c>
      <c r="H28">
        <v>18268194.533333335</v>
      </c>
      <c r="I28">
        <v>8369503.0380952377</v>
      </c>
    </row>
    <row r="29" spans="1:10" x14ac:dyDescent="0.35">
      <c r="A29" s="3">
        <v>2018</v>
      </c>
      <c r="B29">
        <v>24103217.933333334</v>
      </c>
      <c r="C29">
        <v>2787066.4666666668</v>
      </c>
      <c r="D29">
        <v>5825667.8666666672</v>
      </c>
      <c r="E29">
        <v>1204917.8666666667</v>
      </c>
      <c r="F29">
        <v>4156955.6666666665</v>
      </c>
      <c r="G29">
        <v>4143369.0333333332</v>
      </c>
      <c r="H29">
        <v>20267365.966666665</v>
      </c>
      <c r="I29">
        <v>8926937.2571428567</v>
      </c>
    </row>
    <row r="30" spans="1:10" x14ac:dyDescent="0.35">
      <c r="A30" s="3">
        <v>2019</v>
      </c>
      <c r="B30">
        <v>22250545.699999999</v>
      </c>
      <c r="C30">
        <v>2653260.9366666665</v>
      </c>
      <c r="D30">
        <v>6461575.3999999994</v>
      </c>
      <c r="E30">
        <v>1224658.8</v>
      </c>
      <c r="F30">
        <v>4188074.6999999997</v>
      </c>
      <c r="G30">
        <v>4021078.3000000003</v>
      </c>
      <c r="H30">
        <v>19900265.599999998</v>
      </c>
      <c r="I30">
        <v>8671351.3480952382</v>
      </c>
    </row>
    <row r="31" spans="1:10" x14ac:dyDescent="0.35">
      <c r="A31" s="3">
        <v>2020</v>
      </c>
      <c r="B31">
        <v>21728539.833333332</v>
      </c>
      <c r="C31">
        <v>2617306.1999999997</v>
      </c>
      <c r="D31">
        <v>6151316.8666666672</v>
      </c>
      <c r="E31">
        <v>1222930.4000000001</v>
      </c>
      <c r="F31">
        <v>4122949.3000000003</v>
      </c>
      <c r="G31">
        <v>4130445.4666666668</v>
      </c>
      <c r="H31">
        <v>21160504.900000002</v>
      </c>
      <c r="I31">
        <v>8733427.5666666664</v>
      </c>
    </row>
    <row r="32" spans="1:10" x14ac:dyDescent="0.35">
      <c r="A32" s="3">
        <v>2021</v>
      </c>
      <c r="B32">
        <v>22740888.599999998</v>
      </c>
      <c r="C32">
        <v>2643623.9666666668</v>
      </c>
      <c r="D32">
        <v>6317261.2666666666</v>
      </c>
      <c r="E32">
        <v>1231810.0999999999</v>
      </c>
      <c r="F32">
        <v>4221343.666666667</v>
      </c>
      <c r="G32">
        <v>4219178</v>
      </c>
      <c r="H32">
        <v>22463388.833333332</v>
      </c>
      <c r="I32">
        <v>9119642.0619047619</v>
      </c>
    </row>
    <row r="33" spans="1:9" x14ac:dyDescent="0.35">
      <c r="A33" s="3">
        <v>2022</v>
      </c>
      <c r="B33">
        <v>23802943.253333334</v>
      </c>
      <c r="C33">
        <v>2561753.3333333335</v>
      </c>
      <c r="D33">
        <v>6250384.2000000002</v>
      </c>
      <c r="E33">
        <v>1314063.5333333334</v>
      </c>
      <c r="F33">
        <v>4361285.4333333336</v>
      </c>
      <c r="G33">
        <v>4169188.0333333332</v>
      </c>
      <c r="H33">
        <v>22858554.306666669</v>
      </c>
      <c r="I33">
        <v>9331167.4419047628</v>
      </c>
    </row>
    <row r="34" spans="1:9" x14ac:dyDescent="0.35">
      <c r="A34" s="3" t="s">
        <v>37</v>
      </c>
      <c r="B34">
        <v>20866996.034871798</v>
      </c>
      <c r="C34">
        <v>2340760.87974359</v>
      </c>
      <c r="D34">
        <v>5474646.2128205122</v>
      </c>
      <c r="E34">
        <v>1301629.2282051281</v>
      </c>
      <c r="F34">
        <v>3546756.8666666672</v>
      </c>
      <c r="G34">
        <v>4037843.1743589737</v>
      </c>
      <c r="H34">
        <v>17512891.918461535</v>
      </c>
      <c r="I34">
        <v>7868789.187875458</v>
      </c>
    </row>
  </sheetData>
  <pageMargins left="0.7" right="0.7" top="0.75" bottom="0.75" header="0.3" footer="0.3"/>
  <drawing r:id="rId3"/>
  <extLst>
    <ext xmlns:x14="http://schemas.microsoft.com/office/spreadsheetml/2009/9/main" uri="{05C60535-1F16-4fd2-B633-F4F36F0B64E0}">
      <x14:sparklineGroups xmlns:xm="http://schemas.microsoft.com/office/excel/2006/main">
        <x14:sparklineGroup displayEmptyCellsAs="gap" xr2:uid="{C27B2C58-9281-46D7-9A87-3E50C9BE85EF}">
          <x14:colorSeries rgb="FF376092"/>
          <x14:colorNegative rgb="FFD00000"/>
          <x14:colorAxis rgb="FF000000"/>
          <x14:colorMarkers rgb="FFD00000"/>
          <x14:colorFirst rgb="FFD00000"/>
          <x14:colorLast rgb="FFD00000"/>
          <x14:colorHigh rgb="FFD00000"/>
          <x14:colorLow rgb="FFD00000"/>
          <x14:sparklines>
            <x14:sparkline>
              <xm:f>Pivot_table!B21:B33</xm:f>
              <xm:sqref>J21</xm:sqref>
            </x14:sparkline>
            <x14:sparkline>
              <xm:f>Pivot_table!C21:C33</xm:f>
              <xm:sqref>K21</xm:sqref>
            </x14:sparkline>
            <x14:sparkline>
              <xm:f>Pivot_table!D21:D33</xm:f>
              <xm:sqref>L21</xm:sqref>
            </x14:sparkline>
            <x14:sparkline>
              <xm:f>Pivot_table!E21:E33</xm:f>
              <xm:sqref>M21</xm:sqref>
            </x14:sparkline>
            <x14:sparkline>
              <xm:f>Pivot_table!F21:F33</xm:f>
              <xm:sqref>N21</xm:sqref>
            </x14:sparkline>
            <x14:sparkline>
              <xm:f>Pivot_table!G21:G33</xm:f>
              <xm:sqref>O21</xm:sqref>
            </x14:sparkline>
            <x14:sparkline>
              <xm:f>Pivot_table!H21:H33</xm:f>
              <xm:sqref>P21</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D8990-1BD4-4CB5-A08D-003E23713EC3}">
  <sheetPr>
    <tabColor rgb="FFFFC000"/>
  </sheetPr>
  <dimension ref="A1:E8"/>
  <sheetViews>
    <sheetView showGridLines="0" workbookViewId="0">
      <selection activeCell="G6" sqref="G6"/>
    </sheetView>
  </sheetViews>
  <sheetFormatPr defaultRowHeight="14.5" x14ac:dyDescent="0.35"/>
  <cols>
    <col min="1" max="1" width="24.7265625" bestFit="1" customWidth="1"/>
    <col min="2" max="2" width="23.36328125" bestFit="1" customWidth="1"/>
    <col min="3" max="3" width="24.81640625" bestFit="1" customWidth="1"/>
    <col min="4" max="4" width="15" bestFit="1" customWidth="1"/>
    <col min="5" max="5" width="14.81640625" bestFit="1" customWidth="1"/>
    <col min="7" max="7" width="11.81640625" bestFit="1" customWidth="1"/>
  </cols>
  <sheetData>
    <row r="1" spans="1:5" ht="19" thickBot="1" x14ac:dyDescent="0.5">
      <c r="A1" s="5" t="s">
        <v>47</v>
      </c>
      <c r="B1" s="5" t="s">
        <v>43</v>
      </c>
      <c r="C1" s="5" t="s">
        <v>44</v>
      </c>
      <c r="D1" s="5" t="s">
        <v>45</v>
      </c>
      <c r="E1" s="5" t="s">
        <v>46</v>
      </c>
    </row>
    <row r="2" spans="1:5" ht="15" thickTop="1" x14ac:dyDescent="0.35">
      <c r="A2" s="6" t="s">
        <v>15</v>
      </c>
      <c r="B2" s="6">
        <f>SUMIF(Crop_Type,Raw_data!H3,Yield_Value)</f>
        <v>810330945.36000013</v>
      </c>
      <c r="C2" s="6">
        <f>AVERAGEIF(Crop_Type,A2,Yield_Value)</f>
        <v>21324498.562105268</v>
      </c>
      <c r="D2" s="6">
        <f>MAX(B2:B8)</f>
        <v>810330945.36000013</v>
      </c>
      <c r="E2" s="6">
        <f>MIN(B2:B8)</f>
        <v>50763539.899999999</v>
      </c>
    </row>
    <row r="3" spans="1:5" x14ac:dyDescent="0.35">
      <c r="A3" s="6" t="s">
        <v>27</v>
      </c>
      <c r="B3" s="6">
        <f>SUMIF(Crop_Type,Raw_data!H42,Yield_Value)</f>
        <v>91289674.310000002</v>
      </c>
      <c r="C3" s="6">
        <f>AVERAGEIF(Crop_Type,A3,Yield_Value)</f>
        <v>2340760.87974359</v>
      </c>
      <c r="D3" s="6"/>
      <c r="E3" s="6"/>
    </row>
    <row r="4" spans="1:5" x14ac:dyDescent="0.35">
      <c r="A4" s="6" t="s">
        <v>30</v>
      </c>
      <c r="B4" s="6">
        <f>SUMIF(Crop_Type,Raw_data!H81,Yield_Value)</f>
        <v>213511202.29999998</v>
      </c>
      <c r="C4" s="6">
        <f>AVERAGEIF(Crop_Type,A4,Yield_Value)</f>
        <v>5474646.2128205122</v>
      </c>
      <c r="D4" s="6"/>
      <c r="E4" s="6"/>
    </row>
    <row r="5" spans="1:5" x14ac:dyDescent="0.35">
      <c r="A5" s="6" t="s">
        <v>31</v>
      </c>
      <c r="B5" s="6">
        <f>SUMIF(Crop_Type,Raw_data!H120,Yield_Value)</f>
        <v>50763539.899999999</v>
      </c>
      <c r="C5" s="6">
        <f>AVERAGEIF(Crop_Type,Raw_data!H156,Yield_Value)</f>
        <v>1301629.2282051281</v>
      </c>
      <c r="D5" s="6"/>
      <c r="E5" s="6"/>
    </row>
    <row r="6" spans="1:5" x14ac:dyDescent="0.35">
      <c r="A6" s="6" t="s">
        <v>32</v>
      </c>
      <c r="B6" s="6">
        <f>SUMIF(Crop_Type,Raw_data!H159,Yield_Value)</f>
        <v>138323517.80000001</v>
      </c>
      <c r="C6" s="6">
        <f>AVERAGEIF(Crop_Type,Raw_data!H195,Yield_Value)</f>
        <v>3546756.8666666672</v>
      </c>
      <c r="D6" s="6"/>
      <c r="E6" s="6"/>
    </row>
    <row r="7" spans="1:5" x14ac:dyDescent="0.35">
      <c r="A7" s="6" t="s">
        <v>33</v>
      </c>
      <c r="B7" s="6">
        <f>SUMIF(Crop_Type,Raw_data!H198,Yield_Value)</f>
        <v>157475883.79999998</v>
      </c>
      <c r="C7" s="6">
        <f>AVERAGEIF(Crop_Type,Raw_data!H234,Yield_Value)</f>
        <v>4037843.1743589737</v>
      </c>
      <c r="D7" s="6"/>
      <c r="E7" s="6"/>
    </row>
    <row r="8" spans="1:5" x14ac:dyDescent="0.35">
      <c r="A8" s="6" t="s">
        <v>34</v>
      </c>
      <c r="B8" s="6">
        <f>SUMIF(Crop_Type,Raw_data!H273,Yield_Value)</f>
        <v>621902590.29999995</v>
      </c>
      <c r="C8" s="6">
        <f>AVERAGEIF(Crop_Type,Raw_data!H273,Yield_Value)</f>
        <v>16365857.639473682</v>
      </c>
      <c r="D8" s="6"/>
      <c r="E8" s="6"/>
    </row>
  </sheetData>
  <conditionalFormatting sqref="B2:B8">
    <cfRule type="colorScale" priority="2">
      <colorScale>
        <cfvo type="min"/>
        <cfvo type="percentile" val="50"/>
        <cfvo type="max"/>
        <color rgb="FFF8696B"/>
        <color rgb="FFFFEB84"/>
        <color rgb="FF63BE7B"/>
      </colorScale>
    </cfRule>
  </conditionalFormatting>
  <conditionalFormatting sqref="C2:C8">
    <cfRule type="colorScale" priority="1">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Raw_data</vt:lpstr>
      <vt:lpstr>Pivot_table</vt:lpstr>
      <vt:lpstr>Dashboard</vt:lpstr>
      <vt:lpstr>Crop_Type</vt:lpstr>
      <vt:lpstr>Year</vt:lpstr>
      <vt:lpstr>Yield_Value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Holy Essien</cp:lastModifiedBy>
  <dcterms:created xsi:type="dcterms:W3CDTF">2026-04-17T21:20:30Z</dcterms:created>
  <dcterms:modified xsi:type="dcterms:W3CDTF">2026-04-25T20:02:51Z</dcterms:modified>
</cp:coreProperties>
</file>