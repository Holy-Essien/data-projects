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50BB1B2C-41A5-4B57-BFDB-210592B4CD5D}" xr6:coauthVersionLast="47" xr6:coauthVersionMax="47" xr10:uidLastSave="{00000000-0000-0000-0000-000000000000}"/>
  <bookViews>
    <workbookView xWindow="-110" yWindow="-110" windowWidth="19420" windowHeight="10300" xr2:uid="{4574DE4B-D92B-4BAC-92CC-5AC045C8A75D}"/>
  </bookViews>
  <sheets>
    <sheet name="S_P_D" sheetId="1" r:id="rId1"/>
    <sheet name="Grades_sheet" sheetId="3" r:id="rId2"/>
    <sheet name="Pivot_tables" sheetId="4" r:id="rId3"/>
    <sheet name="Dashboard" sheetId="6" r:id="rId4"/>
  </sheets>
  <definedNames>
    <definedName name="_xlnm._FilterDatabase" localSheetId="0" hidden="1">S_P_D!$A$2:$Y$12</definedName>
    <definedName name="_xlnm.Criteria" localSheetId="0">S_P_D!$L$14:$M$15</definedName>
    <definedName name="Department">S_P_D!$F$3:$F$12</definedName>
    <definedName name="Name">S_P_D!$A$3:$A$12</definedName>
    <definedName name="Score">Table3[Score]</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a="1"/>
  <c r="A16" i="1" s="1"/>
  <c r="D18" i="1"/>
  <c r="L5" i="6"/>
  <c r="L4" i="6"/>
  <c r="L3" i="6"/>
  <c r="D3" i="6"/>
  <c r="J15" i="1"/>
  <c r="G3" i="1"/>
  <c r="G4" i="1"/>
  <c r="G5" i="1"/>
  <c r="G6" i="1"/>
  <c r="G7" i="1"/>
  <c r="G8" i="1"/>
  <c r="G9" i="1"/>
  <c r="G10" i="1"/>
  <c r="G11" i="1"/>
  <c r="G12" i="1"/>
  <c r="I15" i="1"/>
  <c r="H15" i="1"/>
  <c r="C3" i="6" a="1"/>
  <c r="C3" i="6" s="1"/>
  <c r="A3" i="6"/>
  <c r="A17" i="1"/>
  <c r="A15" i="1" a="1"/>
  <c r="A15" i="1" s="1"/>
  <c r="B3" i="6"/>
  <c r="R3" i="1"/>
  <c r="Q3" i="1"/>
  <c r="Y4" i="1"/>
  <c r="Y5" i="1"/>
  <c r="Y6" i="1"/>
  <c r="Y7" i="1"/>
  <c r="Y8" i="1"/>
  <c r="Y9" i="1"/>
  <c r="Y10" i="1"/>
  <c r="Y11" i="1"/>
  <c r="Y12" i="1"/>
  <c r="Y3" i="1"/>
  <c r="X4" i="1"/>
  <c r="X5" i="1"/>
  <c r="X6" i="1"/>
  <c r="X7" i="1"/>
  <c r="X8" i="1"/>
  <c r="X9" i="1"/>
  <c r="X10" i="1"/>
  <c r="X11" i="1"/>
  <c r="X12" i="1"/>
  <c r="X3" i="1"/>
  <c r="W4" i="1"/>
  <c r="W5" i="1"/>
  <c r="W6" i="1"/>
  <c r="W7" i="1"/>
  <c r="W8" i="1"/>
  <c r="W9" i="1"/>
  <c r="W10" i="1"/>
  <c r="W11" i="1"/>
  <c r="W12" i="1"/>
  <c r="W3" i="1"/>
  <c r="V4" i="1"/>
  <c r="V5" i="1"/>
  <c r="V6" i="1"/>
  <c r="V7" i="1"/>
  <c r="V8" i="1"/>
  <c r="V9" i="1"/>
  <c r="V10" i="1"/>
  <c r="V11" i="1"/>
  <c r="V12" i="1"/>
  <c r="V3" i="1"/>
  <c r="U4" i="1"/>
  <c r="U5" i="1"/>
  <c r="U6" i="1"/>
  <c r="U7" i="1"/>
  <c r="U8" i="1"/>
  <c r="U9" i="1"/>
  <c r="U10" i="1"/>
  <c r="U11" i="1"/>
  <c r="U12" i="1"/>
  <c r="U3" i="1"/>
  <c r="T4" i="1"/>
  <c r="T5" i="1"/>
  <c r="T6" i="1"/>
  <c r="T7" i="1"/>
  <c r="T8" i="1"/>
  <c r="T9" i="1"/>
  <c r="T10" i="1"/>
  <c r="T11" i="1"/>
  <c r="T12" i="1"/>
  <c r="T3" i="1"/>
  <c r="R4" i="1"/>
  <c r="R5" i="1"/>
  <c r="R6" i="1"/>
  <c r="R7" i="1"/>
  <c r="R8" i="1"/>
  <c r="R9" i="1"/>
  <c r="R10" i="1"/>
  <c r="R11" i="1"/>
  <c r="R12" i="1"/>
  <c r="P4" i="1"/>
  <c r="P5" i="1"/>
  <c r="P6" i="1"/>
  <c r="P7" i="1"/>
  <c r="P8" i="1"/>
  <c r="P9" i="1"/>
  <c r="P10" i="1"/>
  <c r="P11" i="1"/>
  <c r="P12" i="1"/>
  <c r="P3" i="1"/>
  <c r="Q4" i="1"/>
  <c r="Q5" i="1"/>
  <c r="Q6" i="1"/>
  <c r="Q7" i="1"/>
  <c r="Q8" i="1"/>
  <c r="Q9" i="1"/>
  <c r="Q10" i="1"/>
  <c r="Q11" i="1"/>
  <c r="Q12" i="1"/>
  <c r="O4" i="1"/>
  <c r="O5" i="1"/>
  <c r="O6" i="1"/>
  <c r="O7" i="1"/>
  <c r="O8" i="1"/>
  <c r="O9" i="1"/>
  <c r="O10" i="1"/>
  <c r="O11" i="1"/>
  <c r="O12" i="1"/>
  <c r="O3" i="1"/>
  <c r="N4" i="1"/>
  <c r="N5" i="1"/>
  <c r="N6" i="1"/>
  <c r="N7" i="1"/>
  <c r="N8" i="1"/>
  <c r="N9" i="1"/>
  <c r="N10" i="1"/>
  <c r="N11" i="1"/>
  <c r="N12" i="1"/>
  <c r="N3" i="1"/>
  <c r="L4" i="1"/>
  <c r="L5" i="1"/>
  <c r="L6" i="1"/>
  <c r="L7" i="1"/>
  <c r="L8" i="1"/>
  <c r="L9" i="1"/>
  <c r="L10" i="1"/>
  <c r="L11" i="1"/>
  <c r="L12" i="1"/>
  <c r="K4" i="1"/>
  <c r="K5" i="1"/>
  <c r="K6" i="1"/>
  <c r="K7" i="1"/>
  <c r="K8" i="1"/>
  <c r="K9" i="1"/>
  <c r="K10" i="1"/>
  <c r="K11" i="1"/>
  <c r="K12" i="1"/>
  <c r="K3" i="1"/>
  <c r="L3" i="1"/>
  <c r="E5" i="1"/>
  <c r="J17" i="1"/>
  <c r="J16" i="1"/>
  <c r="I17" i="1"/>
  <c r="I16" i="1"/>
  <c r="H17" i="1"/>
  <c r="D14" i="1"/>
  <c r="H16" i="1"/>
  <c r="E3" i="1"/>
  <c r="H3" i="1" s="1"/>
  <c r="E4" i="1"/>
  <c r="H4" i="1" s="1"/>
  <c r="E6" i="1"/>
  <c r="H6" i="1" s="1"/>
  <c r="E7" i="1"/>
  <c r="H7" i="1" s="1"/>
  <c r="E8" i="1"/>
  <c r="H8" i="1" s="1"/>
  <c r="E9" i="1"/>
  <c r="E10" i="1"/>
  <c r="H10" i="1" s="1"/>
  <c r="E11" i="1"/>
  <c r="H11" i="1" s="1"/>
  <c r="E12" i="1"/>
  <c r="D17" i="1"/>
  <c r="D16" i="1"/>
  <c r="D15" i="1"/>
  <c r="H12" i="1" l="1"/>
  <c r="H5" i="1"/>
  <c r="H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<sst xmlns="http://schemas.openxmlformats.org/spreadsheetml/2006/main" count="131" uniqueCount="102">
  <si>
    <t>Name</t>
  </si>
  <si>
    <t>Age</t>
  </si>
  <si>
    <t>City</t>
  </si>
  <si>
    <t>Pistis Essang</t>
  </si>
  <si>
    <t>Bolaji Pelumi</t>
  </si>
  <si>
    <t>Yusuf Titiola</t>
  </si>
  <si>
    <t>Pedric Chima</t>
  </si>
  <si>
    <t>Kendrick Ekpeyong</t>
  </si>
  <si>
    <t>Kezia David</t>
  </si>
  <si>
    <t>Michal Saul</t>
  </si>
  <si>
    <t>Dinah Jacob</t>
  </si>
  <si>
    <t>Andrew Peter</t>
  </si>
  <si>
    <t>Mauton Joshua</t>
  </si>
  <si>
    <t>Uyo</t>
  </si>
  <si>
    <t>Ife</t>
  </si>
  <si>
    <t>Ilorin</t>
  </si>
  <si>
    <t>Calabar</t>
  </si>
  <si>
    <t>Ikeja</t>
  </si>
  <si>
    <t>Rivers</t>
  </si>
  <si>
    <t>Osogbo</t>
  </si>
  <si>
    <t xml:space="preserve">Aba </t>
  </si>
  <si>
    <t>Student Performance Dashboard</t>
  </si>
  <si>
    <t>Score</t>
  </si>
  <si>
    <t>Total</t>
  </si>
  <si>
    <t>Average</t>
  </si>
  <si>
    <t>Min</t>
  </si>
  <si>
    <t>Max</t>
  </si>
  <si>
    <t>Count</t>
  </si>
  <si>
    <t>Jacob</t>
  </si>
  <si>
    <t>Result</t>
  </si>
  <si>
    <t>Department</t>
  </si>
  <si>
    <t>HR</t>
  </si>
  <si>
    <t>Tech</t>
  </si>
  <si>
    <t>Finance</t>
  </si>
  <si>
    <t>Sum</t>
  </si>
  <si>
    <t>Grade</t>
  </si>
  <si>
    <t>Min Score</t>
  </si>
  <si>
    <t>F</t>
  </si>
  <si>
    <t>D</t>
  </si>
  <si>
    <t>C</t>
  </si>
  <si>
    <t>B</t>
  </si>
  <si>
    <t>A</t>
  </si>
  <si>
    <t>First Name</t>
  </si>
  <si>
    <t>Last Name</t>
  </si>
  <si>
    <t>Full Name</t>
  </si>
  <si>
    <t>Email Address</t>
  </si>
  <si>
    <t>Pistis</t>
  </si>
  <si>
    <t>Bolaji</t>
  </si>
  <si>
    <t>Yusuf</t>
  </si>
  <si>
    <t>Pedric</t>
  </si>
  <si>
    <t>Kendrick</t>
  </si>
  <si>
    <t>Kezia</t>
  </si>
  <si>
    <t>Michal</t>
  </si>
  <si>
    <t>Dinah</t>
  </si>
  <si>
    <t>Andrew</t>
  </si>
  <si>
    <t>Mauton</t>
  </si>
  <si>
    <t>Ekpeyong</t>
  </si>
  <si>
    <t>David</t>
  </si>
  <si>
    <t>Saul</t>
  </si>
  <si>
    <t>Peter</t>
  </si>
  <si>
    <t>Joshua</t>
  </si>
  <si>
    <t>Chioma</t>
  </si>
  <si>
    <t>essang</t>
  </si>
  <si>
    <t>PElumi</t>
  </si>
  <si>
    <t>TitiolA</t>
  </si>
  <si>
    <t>Home Address</t>
  </si>
  <si>
    <t xml:space="preserve">Floor </t>
  </si>
  <si>
    <t>Extension</t>
  </si>
  <si>
    <t>Wing</t>
  </si>
  <si>
    <t>02-East 2018</t>
  </si>
  <si>
    <t>03-West 2020</t>
  </si>
  <si>
    <t>01-North 2016</t>
  </si>
  <si>
    <t>02-South 2020</t>
  </si>
  <si>
    <t>03-East 2018</t>
  </si>
  <si>
    <t>02-West 2021</t>
  </si>
  <si>
    <t>01-North 2014</t>
  </si>
  <si>
    <t>02-South 2019</t>
  </si>
  <si>
    <t>01-North 2020</t>
  </si>
  <si>
    <t>02-West 2017</t>
  </si>
  <si>
    <t>Days</t>
  </si>
  <si>
    <t>Month</t>
  </si>
  <si>
    <t>Year</t>
  </si>
  <si>
    <t>Number of Days Joined</t>
  </si>
  <si>
    <t>Years Joined</t>
  </si>
  <si>
    <t>Months Joined</t>
  </si>
  <si>
    <t>&gt;60</t>
  </si>
  <si>
    <t>Column3</t>
  </si>
  <si>
    <t>Column4</t>
  </si>
  <si>
    <t>Row Labels</t>
  </si>
  <si>
    <t>Grand Total</t>
  </si>
  <si>
    <t>Average of Score</t>
  </si>
  <si>
    <t>Date Enrolled</t>
  </si>
  <si>
    <t>Xlookup</t>
  </si>
  <si>
    <t>Vlookup</t>
  </si>
  <si>
    <t>Departments</t>
  </si>
  <si>
    <t>Total Students</t>
  </si>
  <si>
    <t>Average Score</t>
  </si>
  <si>
    <t>Pass Rate</t>
  </si>
  <si>
    <t>Top Department</t>
  </si>
  <si>
    <t>Count of Score</t>
  </si>
  <si>
    <t>Avg Score</t>
  </si>
  <si>
    <t>STUDENT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</si>
</sst>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3"/>
      <color theme="3"/>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2"/>
      <color theme="3"/>
      <name val="Aptos Narrow"/>
      <family val="2"/>
      <scheme val="minor"/>
    </font>
    <font>
      <b/>
      <sz val="16"/>
      <color theme="1"/>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5"/>
        <bgColor indexed="64"/>
      </patternFill>
    </fill>
  </fills>
  <borders count="15">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45">
    <xf numFmtId="0" fontId="0" fillId="0" borderId="0" xfId="0"/>
    <xf numFmtId="0" fontId="0" fillId="0" borderId="2" xfId="0" applyBorder="1"/>
    <xf numFmtId="0" fontId="0" fillId="0" borderId="2" xfId="0" applyBorder="1" applyAlignment="1">
      <alignment horizontal="left"/>
    </xf>
    <xf numFmtId="2" fontId="0" fillId="0" borderId="2" xfId="0" applyNumberFormat="1" applyBorder="1"/>
    <xf numFmtId="2" fontId="0" fillId="0" borderId="0" xfId="0" applyNumberFormat="1"/>
    <xf numFmtId="1" fontId="0" fillId="0" borderId="2" xfId="0" applyNumberFormat="1" applyBorder="1"/>
    <xf numFmtId="9" fontId="0" fillId="0" borderId="0" xfId="1" applyFont="1"/>
    <xf numFmtId="0" fontId="0" fillId="0" borderId="3" xfId="0" applyBorder="1"/>
    <xf numFmtId="0" fontId="0" fillId="0" borderId="8" xfId="0" applyBorder="1"/>
    <xf numFmtId="2" fontId="0" fillId="0" borderId="9" xfId="0" applyNumberFormat="1" applyBorder="1"/>
    <xf numFmtId="0" fontId="6" fillId="0" borderId="0" xfId="0" applyFont="1"/>
    <xf numFmtId="0" fontId="6" fillId="2" borderId="4" xfId="0" applyFont="1" applyFill="1" applyBorder="1"/>
    <xf numFmtId="0" fontId="6" fillId="2" borderId="14" xfId="0" applyFont="1" applyFill="1" applyBorder="1"/>
    <xf numFmtId="0" fontId="6" fillId="2" borderId="3" xfId="0" applyFont="1" applyFill="1" applyBorder="1"/>
    <xf numFmtId="0" fontId="4" fillId="0" borderId="2" xfId="0" applyFont="1" applyBorder="1"/>
    <xf numFmtId="0" fontId="0" fillId="0" borderId="9" xfId="0" applyBorder="1"/>
    <xf numFmtId="0" fontId="4" fillId="0" borderId="6" xfId="0" applyFont="1" applyBorder="1"/>
    <xf numFmtId="9" fontId="4" fillId="0" borderId="2" xfId="1" applyFont="1" applyBorder="1"/>
    <xf numFmtId="14" fontId="0" fillId="0" borderId="0" xfId="0" applyNumberFormat="1"/>
    <xf numFmtId="14" fontId="0" fillId="0" borderId="2" xfId="0" applyNumberFormat="1" applyBorder="1" applyAlignment="1">
      <alignment horizontal="right" indent="1"/>
    </xf>
    <xf numFmtId="1" fontId="0" fillId="0" borderId="0" xfId="0" applyNumberFormat="1"/>
    <xf numFmtId="0" fontId="4" fillId="0" borderId="11" xfId="0" applyFont="1" applyBorder="1"/>
    <xf numFmtId="14" fontId="0" fillId="0" borderId="9" xfId="0" applyNumberFormat="1" applyBorder="1" applyAlignment="1">
      <alignment horizontal="right" indent="1"/>
    </xf>
    <xf numFmtId="1" fontId="0" fillId="0" borderId="9" xfId="0" applyNumberFormat="1" applyBorder="1"/>
    <xf numFmtId="2" fontId="0" fillId="0" borderId="4" xfId="0" applyNumberFormat="1" applyBorder="1"/>
    <xf numFmtId="0" fontId="5" fillId="3" borderId="5" xfId="0" applyFont="1" applyFill="1" applyBorder="1"/>
    <xf numFmtId="2" fontId="5" fillId="3" borderId="6" xfId="0" applyNumberFormat="1" applyFont="1" applyFill="1" applyBorder="1"/>
    <xf numFmtId="0" fontId="5" fillId="3" borderId="6" xfId="0" applyFont="1" applyFill="1" applyBorder="1"/>
    <xf numFmtId="0" fontId="5" fillId="0" borderId="6" xfId="0" applyFont="1" applyBorder="1"/>
    <xf numFmtId="0" fontId="0" fillId="0" borderId="6" xfId="0" applyBorder="1"/>
    <xf numFmtId="14" fontId="4" fillId="0" borderId="6" xfId="0" applyNumberFormat="1" applyFont="1" applyBorder="1"/>
    <xf numFmtId="1" fontId="4" fillId="0" borderId="6" xfId="0" applyNumberFormat="1" applyFont="1" applyBorder="1"/>
    <xf numFmtId="2" fontId="4" fillId="0" borderId="6" xfId="0" applyNumberFormat="1" applyFont="1" applyBorder="1"/>
    <xf numFmtId="2" fontId="4" fillId="0" borderId="7" xfId="0" applyNumberFormat="1" applyFont="1" applyBorder="1"/>
    <xf numFmtId="2" fontId="0" fillId="0" borderId="10" xfId="0" applyNumberFormat="1" applyBorder="1"/>
    <xf numFmtId="0" fontId="0" fillId="0" borderId="0" xfId="0" pivotButton="1"/>
    <xf numFmtId="0" fontId="0" fillId="0" borderId="0" xfId="0" applyAlignment="1">
      <alignment horizontal="left"/>
    </xf>
    <xf numFmtId="0" fontId="7" fillId="0" borderId="1" xfId="2" applyFont="1"/>
    <xf numFmtId="0" fontId="0" fillId="4" borderId="14" xfId="0" applyFill="1" applyBorder="1"/>
    <xf numFmtId="0" fontId="0" fillId="0" borderId="14" xfId="0" applyBorder="1"/>
    <xf numFmtId="0" fontId="3" fillId="5" borderId="12" xfId="0" applyFont="1" applyFill="1" applyBorder="1"/>
    <xf numFmtId="0" fontId="0" fillId="4" borderId="13" xfId="0" applyFill="1" applyBorder="1"/>
    <xf numFmtId="0" fontId="0" fillId="0" borderId="0" xfId="0" applyNumberFormat="1"/>
    <xf numFmtId="0" fontId="0" fillId="0" borderId="0" xfId="0" applyAlignment="1">
      <alignment horizontal="center"/>
    </xf>
    <xf numFmtId="0" fontId="8" fillId="6" borderId="0" xfId="0" applyFont="1" applyFill="1" applyAlignment="1">
      <alignment horizontal="center"/>
    </xf>
  </cellXfs>
  <cellStyles count="3">
    <cellStyle name="Heading 2" xfId="2" builtinId="17"/>
    <cellStyle name="Normal" xfId="0" builtinId="0"/>
    <cellStyle name="Percent" xfId="1" builtinId="5"/>
  </cellStyles>
  <dxfs count="44">
    <dxf>
      <numFmt numFmtId="2" formatCode="0.00"/>
    </dxf>
    <dxf>
      <numFmt numFmtId="2" formatCode="0.00"/>
    </dxf>
    <dxf>
      <numFmt numFmtId="2" formatCode="0.00"/>
    </dxf>
    <dxf>
      <font>
        <b/>
        <i val="0"/>
      </font>
      <fill>
        <patternFill>
          <bgColor theme="4" tint="0.59996337778862885"/>
        </patternFill>
      </fill>
    </dxf>
    <dxf>
      <font>
        <b/>
        <i val="0"/>
      </font>
      <fill>
        <patternFill>
          <bgColor theme="4" tint="0.599963377788628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2" formatCode="0.00"/>
      <border diagonalUp="0" diagonalDown="0">
        <left style="thin">
          <color indexed="64"/>
        </left>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alignment horizontal="right" vertical="bottom"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[P2_Student_tracker.xlsx]Pivot_tables!PivotTable2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Pivot_tables!$B$3</c:f>
              <c:strCache>
                <c:ptCount val="1"/>
                <c:pt idx="0">
                  <c:v>Average of Score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Pivot_tables!$A$4:$A$7</c:f>
              <c:strCache>
                <c:ptCount val="3"/>
                <c:pt idx="0">
                  <c:v>Finance</c:v>
                </c:pt>
                <c:pt idx="1">
                  <c:v>HR</c:v>
                </c:pt>
                <c:pt idx="2">
                  <c:v>Tech</c:v>
                </c:pt>
              </c:strCache>
            </c:strRef>
          </c:cat>
          <c:val>
            <c:numRef>
              <c:f>Pivot_tables!$B$4:$B$7</c:f>
              <c:numCache>
                <c:formatCode>General</c:formatCode>
                <c:ptCount val="3"/>
                <c:pt idx="0">
                  <c:v>53</c:v>
                </c:pt>
                <c:pt idx="1">
                  <c:v>57.75</c:v>
                </c:pt>
                <c:pt idx="2">
                  <c:v>59.333333333333336</c:v>
                </c:pt>
              </c:numCache>
            </c:numRef>
          </c:val>
          <c:extLst>
            <c:ext xmlns:c16="http://schemas.microsoft.com/office/drawing/2014/chart" uri="{C3380CC4-5D6E-409C-BE32-E72D297353CC}">
              <c16:uniqueId val="{00000000-1559-4D35-AE29-E192533004A6}"/>
            </c:ext>
          </c:extLst>
        </c:ser>
        <c:ser>
          <c:idx val="1"/>
          <c:order val="1"/>
          <c:tx>
            <c:strRef>
              <c:f>Pivot_tables!$C$3</c:f>
              <c:strCache>
                <c:ptCount val="1"/>
                <c:pt idx="0">
                  <c:v>Count of Score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Pivot_tables!$A$4:$A$7</c:f>
              <c:strCache>
                <c:ptCount val="3"/>
                <c:pt idx="0">
                  <c:v>Finance</c:v>
                </c:pt>
                <c:pt idx="1">
                  <c:v>HR</c:v>
                </c:pt>
                <c:pt idx="2">
                  <c:v>Tech</c:v>
                </c:pt>
              </c:strCache>
            </c:strRef>
          </c:cat>
          <c:val>
            <c:numRef>
              <c:f>Pivot_tables!$C$4:$C$7</c:f>
              <c:numCache>
                <c:formatCode>General</c:formatCode>
                <c:ptCount val="3"/>
                <c:pt idx="0">
                  <c:v>3</c:v>
                </c:pt>
                <c:pt idx="1">
                  <c:v>4</c:v>
                </c:pt>
                <c:pt idx="2">
                  <c:v>3</c:v>
                </c:pt>
              </c:numCache>
            </c:numRef>
          </c:val>
          <c:extLst>
            <c:ext xmlns:c16="http://schemas.microsoft.com/office/drawing/2014/chart" uri="{C3380CC4-5D6E-409C-BE32-E72D297353CC}">
              <c16:uniqueId val="{00000003-1559-4D35-AE29-E192533004A6}"/>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[P2_Student_tracker.xlsx]Pivot_tables!PivotTable2</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Average of Score</c:v>
                </c:pt>
              </c:strCache>
            </c:strRef>
          </c:tx>
          <c:spPr>
            <a:solidFill>
              <a:schemeClr val="accent1"/>
            </a:solidFill>
            <a:ln>
              <a:noFill/>
            </a:ln>
            <a:effectLst/>
          </c:spPr>
          <c:invertIfNegative val="0"/>
          <c:cat>
            <c:strRef>
              <c:f>Pivot_tables!$A$4:$A$7</c:f>
              <c:strCache>
                <c:ptCount val="3"/>
                <c:pt idx="0">
                  <c:v>Finance</c:v>
                </c:pt>
                <c:pt idx="1">
                  <c:v>HR</c:v>
                </c:pt>
                <c:pt idx="2">
                  <c:v>Tech</c:v>
                </c:pt>
              </c:strCache>
            </c:strRef>
          </c:cat>
          <c:val>
            <c:numRef>
              <c:f>Pivot_tables!$B$4:$B$7</c:f>
              <c:numCache>
                <c:formatCode>General</c:formatCode>
                <c:ptCount val="3"/>
                <c:pt idx="0">
                  <c:v>53</c:v>
                </c:pt>
                <c:pt idx="1">
                  <c:v>57.75</c:v>
                </c:pt>
                <c:pt idx="2">
                  <c:v>59.333333333333336</c:v>
                </c:pt>
              </c:numCache>
            </c:numRef>
          </c:val>
          <c:extLst>
            <c:ext xmlns:c16="http://schemas.microsoft.com/office/drawing/2014/chart" uri="{C3380CC4-5D6E-409C-BE32-E72D297353CC}">
              <c16:uniqueId val="{00000000-C690-4C9B-88F2-0B6BB9006A00}"/>
            </c:ext>
          </c:extLst>
        </c:ser>
        <c:ser>
          <c:idx val="1"/>
          <c:order val="1"/>
          <c:tx>
            <c:strRef>
              <c:f>Pivot_tables!$C$3</c:f>
              <c:strCache>
                <c:ptCount val="1"/>
                <c:pt idx="0">
                  <c:v>Count of Score</c:v>
                </c:pt>
              </c:strCache>
            </c:strRef>
          </c:tx>
          <c:spPr>
            <a:solidFill>
              <a:schemeClr val="accent2"/>
            </a:solidFill>
            <a:ln>
              <a:noFill/>
            </a:ln>
            <a:effectLst/>
          </c:spPr>
          <c:invertIfNegative val="0"/>
          <c:cat>
            <c:strRef>
              <c:f>Pivot_tables!$A$4:$A$7</c:f>
              <c:strCache>
                <c:ptCount val="3"/>
                <c:pt idx="0">
                  <c:v>Finance</c:v>
                </c:pt>
                <c:pt idx="1">
                  <c:v>HR</c:v>
                </c:pt>
                <c:pt idx="2">
                  <c:v>Tech</c:v>
                </c:pt>
              </c:strCache>
            </c:strRef>
          </c:cat>
          <c:val>
            <c:numRef>
              <c:f>Pivot_tables!$C$4:$C$7</c:f>
              <c:numCache>
                <c:formatCode>General</c:formatCode>
                <c:ptCount val="3"/>
                <c:pt idx="0">
                  <c:v>3</c:v>
                </c:pt>
                <c:pt idx="1">
                  <c:v>4</c:v>
                </c:pt>
                <c:pt idx="2">
                  <c:v>3</c:v>
                </c:pt>
              </c:numCache>
            </c:numRef>
          </c:val>
          <c:extLst>
            <c:ext xmlns:c16="http://schemas.microsoft.com/office/drawing/2014/chart" uri="{C3380CC4-5D6E-409C-BE32-E72D297353CC}">
              <c16:uniqueId val="{00000002-C690-4C9B-88F2-0B6BB9006A00}"/>
            </c:ext>
          </c:extLst>
        </c:ser>
        <c:dLbls>
          <c:showLegendKey val="0"/>
          <c:showVal val="0"/>
          <c:showCatName val="0"/>
          <c:showSerName val="0"/>
          <c:showPercent val="0"/>
          <c:showBubbleSize val="0"/>
        </c:dLbls>
        <c:gapWidth val="219"/>
        <c:overlap val="-27"/>
        <c:axId val="1064322591"/>
        <c:axId val="1064323551"/>
      </c:barChart>
      <c:catAx>
        <c:axId val="106432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3551"/>
        <c:crosses val="autoZero"/>
        <c:auto val="1"/>
        <c:lblAlgn val="ctr"/>
        <c:lblOffset val="100"/>
        <c:noMultiLvlLbl val="0"/>
      </c:catAx>
      <c:valAx>
        <c:axId val="106432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[P2_Student_tracker.xlsx]Pivot_tables!PivotTable2</c:name>
    <c:fmtId val="1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Pivot_tables!$B$3</c:f>
              <c:strCache>
                <c:ptCount val="1"/>
                <c:pt idx="0">
                  <c:v>Average of Score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CA2-4DC1-AC8F-2EA59477E4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A2-4DC1-AC8F-2EA59477E42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A2-4DC1-AC8F-2EA59477E4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Pivot_tables!$A$4:$A$7</c:f>
              <c:strCache>
                <c:ptCount val="3"/>
                <c:pt idx="0">
                  <c:v>Finance</c:v>
                </c:pt>
                <c:pt idx="1">
                  <c:v>HR</c:v>
                </c:pt>
                <c:pt idx="2">
                  <c:v>Tech</c:v>
                </c:pt>
              </c:strCache>
            </c:strRef>
          </c:cat>
          <c:val>
            <c:numRef>
              <c:f>Pivot_tables!$B$4:$B$7</c:f>
              <c:numCache>
                <c:formatCode>General</c:formatCode>
                <c:ptCount val="3"/>
                <c:pt idx="0">
                  <c:v>53</c:v>
                </c:pt>
                <c:pt idx="1">
                  <c:v>57.75</c:v>
                </c:pt>
                <c:pt idx="2">
                  <c:v>59.333333333333336</c:v>
                </c:pt>
              </c:numCache>
            </c:numRef>
          </c:val>
          <c:extLst>
            <c:ext xmlns:c16="http://schemas.microsoft.com/office/drawing/2014/chart" uri="{C3380CC4-5D6E-409C-BE32-E72D297353CC}">
              <c16:uniqueId val="{00000006-3CA2-4DC1-AC8F-2EA59477E42B}"/>
            </c:ext>
          </c:extLst>
        </c:ser>
        <c:ser>
          <c:idx val="1"/>
          <c:order val="1"/>
          <c:tx>
            <c:strRef>
              <c:f>Pivot_tables!$C$3</c:f>
              <c:strCache>
                <c:ptCount val="1"/>
                <c:pt idx="0">
                  <c:v>Count of Score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Pivot_tables!$A$4:$A$7</c:f>
              <c:strCache>
                <c:ptCount val="3"/>
                <c:pt idx="0">
                  <c:v>Finance</c:v>
                </c:pt>
                <c:pt idx="1">
                  <c:v>HR</c:v>
                </c:pt>
                <c:pt idx="2">
                  <c:v>Tech</c:v>
                </c:pt>
              </c:strCache>
            </c:strRef>
          </c:cat>
          <c:val>
            <c:numRef>
              <c:f>Pivot_tables!$C$4:$C$7</c:f>
              <c:numCache>
                <c:formatCode>General</c:formatCode>
                <c:ptCount val="3"/>
                <c:pt idx="0">
                  <c:v>3</c:v>
                </c:pt>
                <c:pt idx="1">
                  <c:v>4</c:v>
                </c:pt>
                <c:pt idx="2">
                  <c:v>3</c:v>
                </c:pt>
              </c:numCache>
            </c:numRef>
          </c:val>
          <c:extLst>
            <c:ext xmlns:c16="http://schemas.microsoft.com/office/drawing/2014/chart" uri="{C3380CC4-5D6E-409C-BE32-E72D297353CC}">
              <c16:uniqueId val="{00000011-3CA2-4DC1-AC8F-2EA59477E42B}"/>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[P2_Student_tracker.xlsx]Pivot_tables!PivotTable2</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Average of Score</c:v>
                </c:pt>
              </c:strCache>
            </c:strRef>
          </c:tx>
          <c:spPr>
            <a:solidFill>
              <a:schemeClr val="accent1"/>
            </a:solidFill>
            <a:ln>
              <a:noFill/>
            </a:ln>
            <a:effectLst/>
          </c:spPr>
          <c:invertIfNegative val="0"/>
          <c:cat>
            <c:strRef>
              <c:f>Pivot_tables!$A$4:$A$7</c:f>
              <c:strCache>
                <c:ptCount val="3"/>
                <c:pt idx="0">
                  <c:v>Finance</c:v>
                </c:pt>
                <c:pt idx="1">
                  <c:v>HR</c:v>
                </c:pt>
                <c:pt idx="2">
                  <c:v>Tech</c:v>
                </c:pt>
              </c:strCache>
            </c:strRef>
          </c:cat>
          <c:val>
            <c:numRef>
              <c:f>Pivot_tables!$B$4:$B$7</c:f>
              <c:numCache>
                <c:formatCode>General</c:formatCode>
                <c:ptCount val="3"/>
                <c:pt idx="0">
                  <c:v>53</c:v>
                </c:pt>
                <c:pt idx="1">
                  <c:v>57.75</c:v>
                </c:pt>
                <c:pt idx="2">
                  <c:v>59.333333333333336</c:v>
                </c:pt>
              </c:numCache>
            </c:numRef>
          </c:val>
          <c:extLst>
            <c:ext xmlns:c16="http://schemas.microsoft.com/office/drawing/2014/chart" uri="{C3380CC4-5D6E-409C-BE32-E72D297353CC}">
              <c16:uniqueId val="{00000000-C038-4697-A377-6EE4F30AAB77}"/>
            </c:ext>
          </c:extLst>
        </c:ser>
        <c:ser>
          <c:idx val="1"/>
          <c:order val="1"/>
          <c:tx>
            <c:strRef>
              <c:f>Pivot_tables!$C$3</c:f>
              <c:strCache>
                <c:ptCount val="1"/>
                <c:pt idx="0">
                  <c:v>Count of Score</c:v>
                </c:pt>
              </c:strCache>
            </c:strRef>
          </c:tx>
          <c:spPr>
            <a:solidFill>
              <a:schemeClr val="accent2"/>
            </a:solidFill>
            <a:ln>
              <a:noFill/>
            </a:ln>
            <a:effectLst/>
          </c:spPr>
          <c:invertIfNegative val="0"/>
          <c:cat>
            <c:strRef>
              <c:f>Pivot_tables!$A$4:$A$7</c:f>
              <c:strCache>
                <c:ptCount val="3"/>
                <c:pt idx="0">
                  <c:v>Finance</c:v>
                </c:pt>
                <c:pt idx="1">
                  <c:v>HR</c:v>
                </c:pt>
                <c:pt idx="2">
                  <c:v>Tech</c:v>
                </c:pt>
              </c:strCache>
            </c:strRef>
          </c:cat>
          <c:val>
            <c:numRef>
              <c:f>Pivot_tables!$C$4:$C$7</c:f>
              <c:numCache>
                <c:formatCode>General</c:formatCode>
                <c:ptCount val="3"/>
                <c:pt idx="0">
                  <c:v>3</c:v>
                </c:pt>
                <c:pt idx="1">
                  <c:v>4</c:v>
                </c:pt>
                <c:pt idx="2">
                  <c:v>3</c:v>
                </c:pt>
              </c:numCache>
            </c:numRef>
          </c:val>
          <c:extLst>
            <c:ext xmlns:c16="http://schemas.microsoft.com/office/drawing/2014/chart" uri="{C3380CC4-5D6E-409C-BE32-E72D297353CC}">
              <c16:uniqueId val="{00000001-C038-4697-A377-6EE4F30AAB77}"/>
            </c:ext>
          </c:extLst>
        </c:ser>
        <c:dLbls>
          <c:showLegendKey val="0"/>
          <c:showVal val="0"/>
          <c:showCatName val="0"/>
          <c:showSerName val="0"/>
          <c:showPercent val="0"/>
          <c:showBubbleSize val="0"/>
        </c:dLbls>
        <c:gapWidth val="219"/>
        <c:overlap val="-27"/>
        <c:axId val="1064322591"/>
        <c:axId val="1064323551"/>
      </c:barChart>
      <c:catAx>
        <c:axId val="106432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3551"/>
        <c:crosses val="autoZero"/>
        <c:auto val="1"/>
        <c:lblAlgn val="ctr"/>
        <c:lblOffset val="100"/>
        <c:noMultiLvlLbl val="0"/>
      </c:catAx>
      <c:valAx>
        <c:axId val="106432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0</xdr:row>
      <xdr:rowOff>69850</xdr:rowOff>
    </xdr:from>
    <xdr:to>
      <xdr:col>9</xdr:col>
      <xdr:colOff>590550</xdr:colOff>
      <xdr:row>7</xdr:row>
      <xdr:rowOff>139700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B6A997C-7E24-473F-79E5-6F5D91016AE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219700" y="69850"/>
              <a:ext cx="182880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123825</xdr:rowOff>
    </xdr:from>
    <xdr:to>
      <xdr:col>5</xdr:col>
      <xdr:colOff>552450</xdr:colOff>
      <xdr:row>22</xdr:row>
      <xdr:rowOff>104775</xdr:rowOff>
    </xdr:to>
    <xdr:graphicFrame macro="">
      <xdr:nvGraphicFramePr>
        <xdr:cNvPr id="6" name="Chart 5">
          <a:extLst>
            <a:ext uri="{FF2B5EF4-FFF2-40B4-BE49-F238E27FC236}">
              <a16:creationId xmlns:a16="http://schemas.microsoft.com/office/drawing/2014/main" id="{85B89478-AC5A-DEC3-9B1F-2E5BD5C64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171450</xdr:colOff>
      <xdr:row>7</xdr:row>
      <xdr:rowOff>142875</xdr:rowOff>
    </xdr:from>
    <xdr:to>
      <xdr:col>13</xdr:col>
      <xdr:colOff>476250</xdr:colOff>
      <xdr:row>22</xdr:row>
      <xdr:rowOff>123825</xdr:rowOff>
    </xdr:to>
    <xdr:graphicFrame macro="">
      <xdr:nvGraphicFramePr>
        <xdr:cNvPr id="7" name="Chart 6">
          <a:extLst>
            <a:ext uri="{FF2B5EF4-FFF2-40B4-BE49-F238E27FC236}">
              <a16:creationId xmlns:a16="http://schemas.microsoft.com/office/drawing/2014/main" id="{55109194-6F05-9371-F992-B42222F33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1117600</xdr:colOff>
      <xdr:row>3</xdr:row>
      <xdr:rowOff>120650</xdr:rowOff>
    </xdr:from>
    <xdr:to>
      <xdr:col>9</xdr:col>
      <xdr:colOff>285750</xdr:colOff>
      <xdr:row>20</xdr:row>
      <xdr:rowOff>38100</xdr:rowOff>
    </xdr:to>
    <xdr:graphicFrame macro="">
      <xdr:nvGraphicFramePr>
        <xdr:cNvPr id="3" name="Chart 2">
          <a:extLst>
            <a:ext uri="{FF2B5EF4-FFF2-40B4-BE49-F238E27FC236}">
              <a16:creationId xmlns:a16="http://schemas.microsoft.com/office/drawing/2014/main" id="{602E7C4F-9E09-4460-B248-7C5DC2104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3</xdr:row>
      <xdr:rowOff>120650</xdr:rowOff>
    </xdr:from>
    <xdr:to>
      <xdr:col>3</xdr:col>
      <xdr:colOff>1009650</xdr:colOff>
      <xdr:row>20</xdr:row>
      <xdr:rowOff>44450</xdr:rowOff>
    </xdr:to>
    <xdr:graphicFrame macro="">
      <xdr:nvGraphicFramePr>
        <xdr:cNvPr id="4" name="Chart 3">
          <a:extLst>
            <a:ext uri="{FF2B5EF4-FFF2-40B4-BE49-F238E27FC236}">
              <a16:creationId xmlns:a16="http://schemas.microsoft.com/office/drawing/2014/main" id="{43630346-B0FE-4BB7-AFF8-D35698360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678307523151" createdVersion="8" refreshedVersion="8" minRefreshableVersion="3" recordCount="10" xr:uid="{356BEA4F-7F30-443D-8EB6-9E3A19B0704E}">
  <cacheSource type="worksheet">
    <worksheetSource name="Table3"/>
  </cacheSource>
  <cacheFields count="25">
    <cacheField name="Name" numFmtId="0">
      <sharedItems/>
    </cacheField>
    <cacheField name="Age" numFmtId="2">
      <sharedItems containsSemiMixedTypes="0" containsString="0" containsNumber="1" containsInteger="1" minValue="22" maxValue="27"/>
    </cacheField>
    <cacheField name="City" numFmtId="0">
      <sharedItems/>
    </cacheField>
    <cacheField name="Score" numFmtId="0">
      <sharedItems containsSemiMixedTypes="0" containsString="0" containsNumber="1" containsInteger="1" minValue="36" maxValue="80"/>
    </cacheField>
    <cacheField name="Result" numFmtId="0">
      <sharedItems/>
    </cacheField>
    <cacheField name="Department" numFmtId="0">
      <sharedItems count="3">
        <s v="HR"/>
        <s v="Tech"/>
        <s v="Finance"/>
      </sharedItems>
    </cacheField>
    <cacheField name="Column1" numFmtId="0">
      <sharedItems/>
    </cacheField>
    <cacheField name="Column2" numFmtId="0">
      <sharedItems/>
    </cacheField>
    <cacheField name="Last Name" numFmtId="0">
      <sharedItems/>
    </cacheField>
    <cacheField name="First Name" numFmtId="0">
      <sharedItems/>
    </cacheField>
    <cacheField name="Full Name" numFmtId="0">
      <sharedItems/>
    </cacheField>
    <cacheField name="Email Address" numFmtId="0">
      <sharedItems/>
    </cacheField>
    <cacheField name="Home Address" numFmtId="0">
      <sharedItems/>
    </cacheField>
    <cacheField name="Floor " numFmtId="0">
      <sharedItems/>
    </cacheField>
    <cacheField name="Extension" numFmtId="0">
      <sharedItems/>
    </cacheField>
    <cacheField name="Wing" numFmtId="0">
      <sharedItems/>
    </cacheField>
    <cacheField name="Column3" numFmtId="0">
      <sharedItems containsSemiMixedTypes="0" containsString="0" containsNumber="1" containsInteger="1" minValue="4" maxValue="5"/>
    </cacheField>
    <cacheField name="Column4" numFmtId="0">
      <sharedItems containsSemiMixedTypes="0" containsString="0" containsNumber="1" containsInteger="1" minValue="12" maxValue="13"/>
    </cacheField>
    <cacheField name="Date Joined" numFmtId="14">
      <sharedItems containsSemiMixedTypes="0" containsNonDate="0" containsDate="1" containsString="0" minDate="2018-10-04T00:00:00" maxDate="2025-02-11T00:00:00"/>
    </cacheField>
    <cacheField name="Days" numFmtId="0">
      <sharedItems containsSemiMixedTypes="0" containsString="0" containsNumber="1" containsInteger="1" minValue="2" maxValue="12"/>
    </cacheField>
    <cacheField name="Month" numFmtId="0">
      <sharedItems containsSemiMixedTypes="0" containsString="0" containsNumber="1" containsInteger="1" minValue="1" maxValue="10"/>
    </cacheField>
    <cacheField name="Year" numFmtId="0">
      <sharedItems containsSemiMixedTypes="0" containsString="0" containsNumber="1" containsInteger="1" minValue="2018" maxValue="2025"/>
    </cacheField>
    <cacheField name="Number of Days Joined" numFmtId="1">
      <sharedItems containsSemiMixedTypes="0" containsString="0" containsNumber="1" containsInteger="1" minValue="429" maxValue="2750"/>
    </cacheField>
    <cacheField name="Months Joined" numFmtId="1">
      <sharedItems containsSemiMixedTypes="0" containsString="0" containsNumber="1" minValue="35.75" maxValue="229.16666666666666"/>
    </cacheField>
    <cacheField name="Years Joined" numFmtId="2">
      <sharedItems containsSemiMixedTypes="0" containsString="0" containsNumber="1" minValue="1.1753424657534246" maxValue="7.5342465753424657"/>
    </cacheField>
  </cacheFields>
  <extLst>
    <ext xmlns:x14="http://schemas.microsoft.com/office/spreadsheetml/2009/9/main" uri="{725AE2AE-9491-48be-B2B4-4EB974FC3084}">
      <x14:pivotCacheDefinition pivotCacheId="1507775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Pistis Essang"/>
    <n v="22"/>
    <s v="Uyo"/>
    <n v="77"/>
    <s v="A"/>
    <x v="0"/>
    <s v="A"/>
    <s v="A"/>
    <s v="essang"/>
    <s v="Pistis"/>
    <s v="Pistis Essang"/>
    <s v="pistis.essang@gmail.com"/>
    <s v="02-East 2018"/>
    <s v="02"/>
    <s v="2018"/>
    <s v="East"/>
    <n v="4"/>
    <n v="12"/>
    <d v="2022-02-04T00:00:00"/>
    <n v="4"/>
    <n v="2"/>
    <n v="2022"/>
    <n v="1531"/>
    <n v="127.58333333333333"/>
    <n v="4.1945205479452055"/>
  </r>
  <r>
    <s v="Bolaji Pelumi"/>
    <n v="23"/>
    <s v="Ife"/>
    <n v="55"/>
    <s v="C"/>
    <x v="1"/>
    <s v="C"/>
    <s v="C"/>
    <s v="PElumi"/>
    <s v="Bolaji"/>
    <s v="Bolaji Pelumi"/>
    <s v="bolaji.pelumi@gmail.com"/>
    <s v="03-West 2020"/>
    <s v="03"/>
    <s v="2020"/>
    <s v="West"/>
    <n v="4"/>
    <n v="12"/>
    <d v="2023-05-05T00:00:00"/>
    <n v="5"/>
    <n v="5"/>
    <n v="2023"/>
    <n v="1076"/>
    <n v="89.666666666666671"/>
    <n v="2.9479452054794519"/>
  </r>
  <r>
    <s v="Yusuf Titiola"/>
    <n v="25"/>
    <s v="Ilorin"/>
    <n v="49"/>
    <s v="D"/>
    <x v="2"/>
    <s v="D"/>
    <s v="D"/>
    <s v="TitiolA"/>
    <s v="Yusuf"/>
    <s v="Yusuf Titiola"/>
    <s v="yusuf.titiola@gmail.com"/>
    <s v="01-North 2016"/>
    <s v="01"/>
    <s v="2016"/>
    <s v="North"/>
    <n v="5"/>
    <n v="13"/>
    <d v="2021-05-06T00:00:00"/>
    <n v="6"/>
    <n v="5"/>
    <n v="2021"/>
    <n v="1805"/>
    <n v="150.41666666666666"/>
    <n v="4.9452054794520546"/>
  </r>
  <r>
    <s v="Pedric Chima"/>
    <n v="27"/>
    <s v="Aba "/>
    <n v="63"/>
    <s v="B"/>
    <x v="0"/>
    <s v="B"/>
    <s v="B"/>
    <s v="Chioma"/>
    <s v="Pedric"/>
    <s v="Pedric Chioma"/>
    <s v="pedric.chioma@gmail.com"/>
    <s v="02-South 2020"/>
    <s v="02"/>
    <s v="2020"/>
    <s v="South"/>
    <n v="5"/>
    <n v="13"/>
    <d v="2024-09-02T00:00:00"/>
    <n v="2"/>
    <n v="9"/>
    <n v="2024"/>
    <n v="590"/>
    <n v="49.166666666666664"/>
    <n v="1.6164383561643836"/>
  </r>
  <r>
    <s v="Kendrick Ekpeyong"/>
    <n v="26"/>
    <s v="Calabar"/>
    <n v="80"/>
    <s v="A"/>
    <x v="1"/>
    <s v="A"/>
    <s v="A"/>
    <s v="Ekpeyong"/>
    <s v="Kendrick"/>
    <s v="Kendrick Ekpeyong"/>
    <s v="kendrick.ekpeyong@gmail.com"/>
    <s v="03-East 2018"/>
    <s v="03"/>
    <s v="2018"/>
    <s v="East"/>
    <n v="4"/>
    <n v="12"/>
    <d v="2022-05-06T00:00:00"/>
    <n v="6"/>
    <n v="5"/>
    <n v="2022"/>
    <n v="1440"/>
    <n v="120"/>
    <n v="3.9452054794520546"/>
  </r>
  <r>
    <s v="Kezia David"/>
    <n v="24"/>
    <s v="Ikeja"/>
    <n v="45"/>
    <s v="D"/>
    <x v="2"/>
    <s v="D"/>
    <s v="D"/>
    <s v="David"/>
    <s v="Kezia"/>
    <s v="Kezia David"/>
    <s v="kezia.david@gmail.com"/>
    <s v="02-West 2021"/>
    <s v="02"/>
    <s v="2021"/>
    <s v="West"/>
    <n v="4"/>
    <n v="12"/>
    <d v="2018-10-04T00:00:00"/>
    <n v="4"/>
    <n v="10"/>
    <n v="2018"/>
    <n v="2750"/>
    <n v="229.16666666666666"/>
    <n v="7.5342465753424657"/>
  </r>
  <r>
    <s v="Michal Saul"/>
    <n v="24"/>
    <s v="Rivers"/>
    <n v="36"/>
    <s v="F"/>
    <x v="0"/>
    <s v="F"/>
    <s v="F"/>
    <s v="Saul"/>
    <s v="Michal"/>
    <s v="Michal Saul"/>
    <s v="michal.saul@gmail.com"/>
    <s v="01-North 2014"/>
    <s v="01"/>
    <s v="2014"/>
    <s v="North"/>
    <n v="5"/>
    <n v="13"/>
    <d v="2019-07-12T00:00:00"/>
    <n v="12"/>
    <n v="7"/>
    <n v="2019"/>
    <n v="2469"/>
    <n v="205.75"/>
    <n v="6.7643835616438359"/>
  </r>
  <r>
    <s v="Dinah Jacob"/>
    <n v="26"/>
    <s v="Osogbo"/>
    <n v="43"/>
    <s v="F"/>
    <x v="1"/>
    <s v="F"/>
    <s v="F"/>
    <s v="Jacob"/>
    <s v="Dinah"/>
    <s v="Dinah Jacob"/>
    <s v="dinah.jacob@gmail.com"/>
    <s v="02-South 2019"/>
    <s v="02"/>
    <s v="2019"/>
    <s v="South"/>
    <n v="5"/>
    <n v="13"/>
    <d v="2023-08-02T00:00:00"/>
    <n v="2"/>
    <n v="8"/>
    <n v="2023"/>
    <n v="987"/>
    <n v="82.25"/>
    <n v="2.7041095890410958"/>
  </r>
  <r>
    <s v="Andrew Peter"/>
    <n v="25"/>
    <s v="Calabar"/>
    <n v="65"/>
    <s v="B"/>
    <x v="2"/>
    <s v="B"/>
    <s v="B"/>
    <s v="Peter"/>
    <s v="Andrew"/>
    <s v="Andrew Peter"/>
    <s v="andrew.peter@gmail.com"/>
    <s v="01-North 2020"/>
    <s v="01"/>
    <s v="2020"/>
    <s v="North"/>
    <n v="5"/>
    <n v="13"/>
    <d v="2020-01-03T00:00:00"/>
    <n v="3"/>
    <n v="1"/>
    <n v="2020"/>
    <n v="2294"/>
    <n v="191.16666666666666"/>
    <n v="6.2849315068493148"/>
  </r>
  <r>
    <s v="Mauton Joshua"/>
    <n v="24"/>
    <s v="Uyo"/>
    <n v="55"/>
    <s v="C"/>
    <x v="0"/>
    <s v="C"/>
    <s v="C"/>
    <s v="Joshua"/>
    <s v="Mauton"/>
    <s v="Mauton Joshua"/>
    <s v="mauton.joshua@gmail.com"/>
    <s v="02-West 2017"/>
    <s v="02"/>
    <s v="2017"/>
    <s v="West"/>
    <n v="4"/>
    <n v="12"/>
    <d v="2025-02-10T00:00:00"/>
    <n v="10"/>
    <n v="2"/>
    <n v="2025"/>
    <n v="429"/>
    <n v="35.75"/>
    <n v="1.175342465753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EAA9C0-D810-48F8-870A-3A8018CDD0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7" firstHeaderRow="0" firstDataRow="1" firstDataCol="1"/>
  <pivotFields count="25">
    <pivotField showAll="0"/>
    <pivotField numFmtId="2"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 showAll="0"/>
    <pivotField numFmtId="1" showAll="0"/>
    <pivotField numFmtId="2" showAll="0"/>
  </pivotFields>
  <rowFields count="1">
    <field x="5"/>
  </rowFields>
  <rowItems count="4">
    <i>
      <x/>
    </i>
    <i>
      <x v="1"/>
    </i>
    <i>
      <x v="2"/>
    </i>
    <i t="grand">
      <x/>
    </i>
  </rowItems>
  <colFields count="1">
    <field x="-2"/>
  </colFields>
  <colItems count="2">
    <i>
      <x/>
    </i>
    <i i="1">
      <x v="1"/>
    </i>
  </colItems>
  <dataFields count="2">
    <dataField name="Average of Score" fld="3" subtotal="average" baseField="0" baseItem="0"/>
    <dataField name="Count of Score" fld="3" subtotal="count" baseField="0" baseItem="0"/>
  </dataFields>
  <formats count="1">
    <format dxfId="8">
      <pivotArea collapsedLevelsAreSubtotals="1" fieldPosition="0">
        <references count="2">
          <reference field="4294967294" count="1" selected="0">
            <x v="0"/>
          </reference>
          <reference field="5" count="1">
            <x v="2"/>
          </reference>
        </references>
      </pivotArea>
    </format>
  </formats>
  <chartFormats count="2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11" format="4"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5" count="1" selected="0">
            <x v="0"/>
          </reference>
        </references>
      </pivotArea>
    </chartFormat>
    <chartFormat chart="13" format="19">
      <pivotArea type="data" outline="0" fieldPosition="0">
        <references count="2">
          <reference field="4294967294" count="1" selected="0">
            <x v="0"/>
          </reference>
          <reference field="5" count="1" selected="0">
            <x v="1"/>
          </reference>
        </references>
      </pivotArea>
    </chartFormat>
    <chartFormat chart="13" format="20">
      <pivotArea type="data" outline="0" fieldPosition="0">
        <references count="2">
          <reference field="4294967294" count="1" selected="0">
            <x v="0"/>
          </reference>
          <reference field="5"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5" count="1" selected="0">
            <x v="0"/>
          </reference>
        </references>
      </pivotArea>
    </chartFormat>
    <chartFormat chart="17"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1"/>
          </reference>
        </references>
      </pivotArea>
    </chartFormat>
    <chartFormat chart="2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1"/>
          </reference>
        </references>
      </pivotArea>
    </chartFormat>
    <chartFormat chart="13" format="26"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14510CC-8B43-4D9D-B926-5286AC151802}" sourceName="Department">
  <pivotTables>
    <pivotTable tabId="4" name="PivotTable2"/>
  </pivotTables>
  <data>
    <tabular pivotCacheId="150777586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2559A7D-EC5B-44FB-9CB1-F6F1899BBF9C}" cache="Slicer_Department" caption="Depart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8E9F12-05C7-4B12-BD65-7C6616EF5DF2}" name="Table3" displayName="Table3" ref="A2:Y12" totalsRowShown="0" headerRowBorderDxfId="43" tableBorderDxfId="42" totalsRowBorderDxfId="41">
  <autoFilter ref="A2:Y12" xr:uid="{948E9F12-05C7-4B12-BD65-7C6616EF5DF2}"/>
  <tableColumns count="25">
    <tableColumn id="1" xr3:uid="{3CED0534-4B74-46EE-81BA-2499B6C62092}" name="Name" dataDxfId="40"/>
    <tableColumn id="2" xr3:uid="{0B5AC997-EE58-425D-AB5E-E23588C2D230}" name="Age" dataDxfId="39"/>
    <tableColumn id="3" xr3:uid="{F964865D-3502-40BD-90DA-F4F67549096A}" name="City" dataDxfId="38"/>
    <tableColumn id="4" xr3:uid="{730BF07A-BC20-477B-A4CF-301DD6A6E6B4}" name="Score" dataDxfId="37"/>
    <tableColumn id="5" xr3:uid="{2B141BA0-D305-4359-8E47-58738CC15DE4}" name="Result" dataDxfId="36">
      <calculatedColumnFormula>IF(D3&gt;=70,"A",IF(D3&gt;=60,"B",IF(D3&gt;=50,"C",IF(D3&gt;=45,"D","F"))))</calculatedColumnFormula>
    </tableColumn>
    <tableColumn id="6" xr3:uid="{657887DB-9C0C-4890-AA81-93E47E4FAF76}" name="Department" dataDxfId="35"/>
    <tableColumn id="7" xr3:uid="{36F0628A-37E2-438E-86C5-411D5B97B4FF}" name="Vlookup" dataDxfId="34">
      <calculatedColumnFormula>IFERROR(VLOOKUP(D3,Grades_sheet!$A$1:$B$6,2,TRUE),"Missing")</calculatedColumnFormula>
    </tableColumn>
    <tableColumn id="8" xr3:uid="{4BA4DB52-4146-4FA6-AA23-79EBAF43B7CA}" name="Xlookup" dataDxfId="33">
      <calculatedColumnFormula>_xlfn.XLOOKUP(E3,E2:E12,E2:E12)</calculatedColumnFormula>
    </tableColumn>
    <tableColumn id="9" xr3:uid="{44FA6633-0987-4410-B049-574191989532}" name="Last Name" dataDxfId="32"/>
    <tableColumn id="10" xr3:uid="{A23338D2-3CEE-487A-BB20-1AD3B877F707}" name="First Name" dataDxfId="31"/>
    <tableColumn id="11" xr3:uid="{10EDE3D7-3011-4E2C-9730-35A922601C5E}" name="Full Name" dataDxfId="30">
      <calculatedColumnFormula>PROPER(_xlfn.CONCAT(J3," ",I3))</calculatedColumnFormula>
    </tableColumn>
    <tableColumn id="12" xr3:uid="{0ED2D71E-7C6C-42D7-8BF6-CFDA614C2142}" name="Email Address" dataDxfId="29">
      <calculatedColumnFormula>LOWER(J3&amp;"."&amp;I3&amp;"@gmail.com")</calculatedColumnFormula>
    </tableColumn>
    <tableColumn id="13" xr3:uid="{A71AC1EA-0CEA-48DC-A94B-EDA660049213}" name="Home Address" dataDxfId="28"/>
    <tableColumn id="14" xr3:uid="{49F4E7A0-E5FD-4EE3-968A-17BFC1EDF101}" name="Floor " dataDxfId="27">
      <calculatedColumnFormula>LEFT(M3,2)</calculatedColumnFormula>
    </tableColumn>
    <tableColumn id="15" xr3:uid="{6B5F0348-E913-4F07-942E-D60BB95A8E8C}" name="Extension" dataDxfId="26">
      <calculatedColumnFormula>RIGHT(M3,4)</calculatedColumnFormula>
    </tableColumn>
    <tableColumn id="16" xr3:uid="{F3DB1670-D45C-433C-A2EE-838B98B33D1E}" name="Wing" dataDxfId="25">
      <calculatedColumnFormula>MID(M3,4,FIND(" ",M3)-4)</calculatedColumnFormula>
    </tableColumn>
    <tableColumn id="17" xr3:uid="{2B505B4D-8A9C-4A73-9572-E6F75B06B812}" name="Column3" dataDxfId="24">
      <calculatedColumnFormula>FIND(" ",M3)-4</calculatedColumnFormula>
    </tableColumn>
    <tableColumn id="18" xr3:uid="{ACFC44C1-9308-4B70-84F0-6C1BEB5B9F10}" name="Column4" dataDxfId="23">
      <calculatedColumnFormula>LEN(M3)</calculatedColumnFormula>
    </tableColumn>
    <tableColumn id="19" xr3:uid="{02D1FC3D-5B2F-484A-90F5-709F2A0BD3B5}" name="Date Enrolled" dataDxfId="22"/>
    <tableColumn id="20" xr3:uid="{71464C30-5C1C-4B1B-9F72-4A1E97365F59}" name="Days" dataDxfId="21">
      <calculatedColumnFormula>DAY(S3)</calculatedColumnFormula>
    </tableColumn>
    <tableColumn id="21" xr3:uid="{08976D15-3696-4A81-93A3-8ECDA1636883}" name="Month" dataDxfId="20">
      <calculatedColumnFormula>MONTH(S3)</calculatedColumnFormula>
    </tableColumn>
    <tableColumn id="22" xr3:uid="{DE322534-72EB-4FF7-88BE-C32ADB55E9D2}" name="Year" dataDxfId="19">
      <calculatedColumnFormula>YEAR(S3)</calculatedColumnFormula>
    </tableColumn>
    <tableColumn id="23" xr3:uid="{0BB1AF77-B97B-4BF2-8730-63950A33380A}" name="Number of Days Joined" dataDxfId="18">
      <calculatedColumnFormula>TODAY()-S3</calculatedColumnFormula>
    </tableColumn>
    <tableColumn id="24" xr3:uid="{7700A952-2ECB-45BA-85A9-6F70455F9AC6}" name="Months Joined" dataDxfId="17">
      <calculatedColumnFormula>(TODAY()-S3)/12</calculatedColumnFormula>
    </tableColumn>
    <tableColumn id="25" xr3:uid="{00E52B42-711D-4C5C-85B3-C019CFDF8E61}" name="Years Joined" dataDxfId="16">
      <calculatedColumnFormula>(TODAY()-S3)/365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A011CD-E118-4BC4-BC12-F185AE69EBA0}" name="Table4" displayName="Table4" ref="C1:C4" totalsRowShown="0" headerRowDxfId="15" headerRowBorderDxfId="14" tableBorderDxfId="13" totalsRowBorderDxfId="12">
  <autoFilter ref="C1:C4" xr:uid="{BAA011CD-E118-4BC4-BC12-F185AE69EBA0}"/>
  <tableColumns count="1">
    <tableColumn id="1" xr3:uid="{46CFA44A-F821-462E-8E0F-A5D0DEA2C2C5}" name="Depart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B2FD-4D9E-44F2-8815-3DFC71801951}">
  <sheetPr>
    <tabColor rgb="FFFFFF00"/>
  </sheetPr>
  <dimension ref="A1:AA20"/>
  <sheetViews>
    <sheetView tabSelected="1" workbookViewId="0">
      <selection activeCell="A17" sqref="A17"/>
    </sheetView>
  </sheetViews>
  <sheetFormatPr defaultRowHeight="14.5" x14ac:dyDescent="0.35"/>
  <cols>
    <col min="1" max="1" width="15.90625" bestFit="1" customWidth="1"/>
    <col min="2" max="2" width="9.90625" style="4" customWidth="1"/>
    <col min="3" max="3" width="11.90625" customWidth="1"/>
    <col min="6" max="6" width="12.81640625" customWidth="1"/>
    <col min="7" max="7" width="12.6328125" style="6" customWidth="1"/>
    <col min="8" max="8" width="10.453125" hidden="1" customWidth="1"/>
    <col min="9" max="9" width="11.81640625" hidden="1" customWidth="1"/>
    <col min="10" max="10" width="11.81640625" customWidth="1"/>
    <col min="11" max="11" width="18.453125" customWidth="1"/>
    <col min="12" max="12" width="26.36328125" bestFit="1" customWidth="1"/>
    <col min="13" max="13" width="14.81640625" customWidth="1"/>
    <col min="15" max="15" width="11.1796875" customWidth="1"/>
    <col min="16" max="16" width="10.36328125" customWidth="1"/>
    <col min="17" max="18" width="10.453125" customWidth="1"/>
    <col min="19" max="19" width="12.453125" style="18" customWidth="1"/>
    <col min="22" max="22" width="8.7265625" customWidth="1"/>
    <col min="23" max="23" width="21.7265625" style="20" customWidth="1"/>
    <col min="24" max="24" width="14.7265625" style="4" customWidth="1"/>
    <col min="25" max="25" width="13.1796875" style="4" customWidth="1"/>
  </cols>
  <sheetData>
    <row r="1" spans="1:27" ht="18.5" x14ac:dyDescent="0.45">
      <c r="A1" s="11" t="s">
        <v>21</v>
      </c>
      <c r="B1" s="12"/>
      <c r="C1" s="13"/>
    </row>
    <row r="2" spans="1:27" ht="16" x14ac:dyDescent="0.4">
      <c r="A2" s="25" t="s">
        <v>0</v>
      </c>
      <c r="B2" s="26" t="s">
        <v>1</v>
      </c>
      <c r="C2" s="27" t="s">
        <v>2</v>
      </c>
      <c r="D2" s="28" t="s">
        <v>22</v>
      </c>
      <c r="E2" s="28" t="s">
        <v>29</v>
      </c>
      <c r="F2" s="16" t="s">
        <v>30</v>
      </c>
      <c r="G2" s="29" t="s">
        <v>93</v>
      </c>
      <c r="H2" s="29" t="s">
        <v>92</v>
      </c>
      <c r="I2" s="16" t="s">
        <v>43</v>
      </c>
      <c r="J2" s="16" t="s">
        <v>42</v>
      </c>
      <c r="K2" s="16" t="s">
        <v>44</v>
      </c>
      <c r="L2" s="16" t="s">
        <v>45</v>
      </c>
      <c r="M2" s="16" t="s">
        <v>65</v>
      </c>
      <c r="N2" s="16" t="s">
        <v>66</v>
      </c>
      <c r="O2" s="16" t="s">
        <v>67</v>
      </c>
      <c r="P2" s="16" t="s">
        <v>68</v>
      </c>
      <c r="Q2" s="29" t="s">
        <v>86</v>
      </c>
      <c r="R2" s="29" t="s">
        <v>87</v>
      </c>
      <c r="S2" s="30" t="s">
        <v>91</v>
      </c>
      <c r="T2" s="16" t="s">
        <v>79</v>
      </c>
      <c r="U2" s="16" t="s">
        <v>80</v>
      </c>
      <c r="V2" s="16" t="s">
        <v>81</v>
      </c>
      <c r="W2" s="31" t="s">
        <v>82</v>
      </c>
      <c r="X2" s="32" t="s">
        <v>84</v>
      </c>
      <c r="Y2" s="33" t="s">
        <v>83</v>
      </c>
      <c r="AA2" s="1" t="s">
        <v>5</v>
      </c>
    </row>
    <row r="3" spans="1:27" x14ac:dyDescent="0.35">
      <c r="A3" s="7" t="s">
        <v>3</v>
      </c>
      <c r="B3" s="3">
        <v>22</v>
      </c>
      <c r="C3" s="1" t="s">
        <v>13</v>
      </c>
      <c r="D3" s="1">
        <v>77</v>
      </c>
      <c r="E3" s="1" t="str">
        <f t="shared" ref="E3:E12" si="0">IF(D3&gt;=70,"A",IF(D3&gt;=60,"B",IF(D3&gt;=50,"C",IF(D3&gt;=45,"D","F"))))</f>
        <v>A</v>
      </c>
      <c r="F3" s="1" t="s">
        <v>31</v>
      </c>
      <c r="G3" s="1" t="str">
        <f>IFERROR(VLOOKUP(D3,Grades_sheet!$A$1:$B$6,2,TRUE),"Missing")</f>
        <v>A</v>
      </c>
      <c r="H3" s="1" t="str">
        <f t="shared" ref="H3:H12" si="1">_xlfn.XLOOKUP(E3,E2:E12,E2:E12)</f>
        <v>A</v>
      </c>
      <c r="I3" s="1" t="s">
        <v>62</v>
      </c>
      <c r="J3" s="1" t="s">
        <v>46</v>
      </c>
      <c r="K3" s="1" t="str">
        <f t="shared" ref="K3:K12" si="2">PROPER(_xlfn.CONCAT(J3," ",I3))</f>
        <v>Pistis Essang</v>
      </c>
      <c r="L3" s="1" t="str">
        <f t="shared" ref="L3:L12" si="3">LOWER(J3&amp;"."&amp;I3&amp;"@gmail.com")</f>
        <v>pistis.essang@gmail.com</v>
      </c>
      <c r="M3" s="1" t="s">
        <v>69</v>
      </c>
      <c r="N3" s="1" t="str">
        <f t="shared" ref="N3:N12" si="4">LEFT(M3,2)</f>
        <v>02</v>
      </c>
      <c r="O3" s="1" t="str">
        <f t="shared" ref="O3:O12" si="5">RIGHT(M3,4)</f>
        <v>2018</v>
      </c>
      <c r="P3" s="1" t="str">
        <f t="shared" ref="P3:P12" si="6">MID(M3,4,FIND(" ",M3)-4)</f>
        <v>East</v>
      </c>
      <c r="Q3" s="1">
        <f t="shared" ref="Q3:Q12" si="7">FIND(" ",M3)-4</f>
        <v>4</v>
      </c>
      <c r="R3" s="1">
        <f t="shared" ref="R3:R12" si="8">LEN(M3)</f>
        <v>12</v>
      </c>
      <c r="S3" s="19">
        <v>44596</v>
      </c>
      <c r="T3" s="1">
        <f t="shared" ref="T3:T12" si="9">DAY(S3)</f>
        <v>4</v>
      </c>
      <c r="U3" s="1">
        <f t="shared" ref="U3:U12" si="10">MONTH(S3)</f>
        <v>2</v>
      </c>
      <c r="V3" s="1">
        <f t="shared" ref="V3:V12" si="11">YEAR(S3)</f>
        <v>2022</v>
      </c>
      <c r="W3" s="5">
        <f t="shared" ref="W3:W12" ca="1" si="12">TODAY()-S3</f>
        <v>1538</v>
      </c>
      <c r="X3" s="5">
        <f t="shared" ref="X3:X12" ca="1" si="13">(TODAY()-S3)/12</f>
        <v>128.16666666666666</v>
      </c>
      <c r="Y3" s="24">
        <f t="shared" ref="Y3:Y12" ca="1" si="14">(TODAY()-S3)/365</f>
        <v>4.2136986301369861</v>
      </c>
    </row>
    <row r="4" spans="1:27" x14ac:dyDescent="0.35">
      <c r="A4" s="7" t="s">
        <v>4</v>
      </c>
      <c r="B4" s="3">
        <v>23</v>
      </c>
      <c r="C4" s="1" t="s">
        <v>14</v>
      </c>
      <c r="D4" s="1">
        <v>55</v>
      </c>
      <c r="E4" s="1" t="str">
        <f t="shared" si="0"/>
        <v>C</v>
      </c>
      <c r="F4" s="1" t="s">
        <v>32</v>
      </c>
      <c r="G4" s="1" t="str">
        <f>IFERROR(VLOOKUP(D4,Grades_sheet!$A$1:$B$6,2,TRUE),"Missing")</f>
        <v>C</v>
      </c>
      <c r="H4" s="1" t="str">
        <f t="shared" si="1"/>
        <v>C</v>
      </c>
      <c r="I4" s="1" t="s">
        <v>63</v>
      </c>
      <c r="J4" s="1" t="s">
        <v>47</v>
      </c>
      <c r="K4" s="1" t="str">
        <f t="shared" si="2"/>
        <v>Bolaji Pelumi</v>
      </c>
      <c r="L4" s="1" t="str">
        <f t="shared" si="3"/>
        <v>bolaji.pelumi@gmail.com</v>
      </c>
      <c r="M4" s="1" t="s">
        <v>70</v>
      </c>
      <c r="N4" s="1" t="str">
        <f t="shared" si="4"/>
        <v>03</v>
      </c>
      <c r="O4" s="1" t="str">
        <f t="shared" si="5"/>
        <v>2020</v>
      </c>
      <c r="P4" s="1" t="str">
        <f t="shared" si="6"/>
        <v>West</v>
      </c>
      <c r="Q4" s="1">
        <f t="shared" si="7"/>
        <v>4</v>
      </c>
      <c r="R4" s="1">
        <f t="shared" si="8"/>
        <v>12</v>
      </c>
      <c r="S4" s="19">
        <v>45051</v>
      </c>
      <c r="T4" s="1">
        <f t="shared" si="9"/>
        <v>5</v>
      </c>
      <c r="U4" s="1">
        <f t="shared" si="10"/>
        <v>5</v>
      </c>
      <c r="V4" s="1">
        <f t="shared" si="11"/>
        <v>2023</v>
      </c>
      <c r="W4" s="5">
        <f t="shared" ca="1" si="12"/>
        <v>1083</v>
      </c>
      <c r="X4" s="5">
        <f t="shared" ca="1" si="13"/>
        <v>90.25</v>
      </c>
      <c r="Y4" s="24">
        <f t="shared" ca="1" si="14"/>
        <v>2.967123287671233</v>
      </c>
    </row>
    <row r="5" spans="1:27" x14ac:dyDescent="0.35">
      <c r="A5" s="7" t="s">
        <v>5</v>
      </c>
      <c r="B5" s="3">
        <v>25</v>
      </c>
      <c r="C5" s="2" t="s">
        <v>15</v>
      </c>
      <c r="D5" s="1">
        <v>49</v>
      </c>
      <c r="E5" s="1" t="str">
        <f t="shared" si="0"/>
        <v>D</v>
      </c>
      <c r="F5" s="1" t="s">
        <v>33</v>
      </c>
      <c r="G5" s="1" t="str">
        <f>IFERROR(VLOOKUP(D5,Grades_sheet!$A$1:$B$6,2,TRUE),"Missing")</f>
        <v>D</v>
      </c>
      <c r="H5" s="1" t="str">
        <f t="shared" si="1"/>
        <v>D</v>
      </c>
      <c r="I5" s="1" t="s">
        <v>64</v>
      </c>
      <c r="J5" s="1" t="s">
        <v>48</v>
      </c>
      <c r="K5" s="1" t="str">
        <f t="shared" si="2"/>
        <v>Yusuf Titiola</v>
      </c>
      <c r="L5" s="1" t="str">
        <f t="shared" si="3"/>
        <v>yusuf.titiola@gmail.com</v>
      </c>
      <c r="M5" s="1" t="s">
        <v>71</v>
      </c>
      <c r="N5" s="1" t="str">
        <f t="shared" si="4"/>
        <v>01</v>
      </c>
      <c r="O5" s="1" t="str">
        <f t="shared" si="5"/>
        <v>2016</v>
      </c>
      <c r="P5" s="1" t="str">
        <f t="shared" si="6"/>
        <v>North</v>
      </c>
      <c r="Q5" s="1">
        <f t="shared" si="7"/>
        <v>5</v>
      </c>
      <c r="R5" s="1">
        <f t="shared" si="8"/>
        <v>13</v>
      </c>
      <c r="S5" s="19">
        <v>44322</v>
      </c>
      <c r="T5" s="1">
        <f t="shared" si="9"/>
        <v>6</v>
      </c>
      <c r="U5" s="1">
        <f t="shared" si="10"/>
        <v>5</v>
      </c>
      <c r="V5" s="1">
        <f t="shared" si="11"/>
        <v>2021</v>
      </c>
      <c r="W5" s="5">
        <f t="shared" ca="1" si="12"/>
        <v>1812</v>
      </c>
      <c r="X5" s="5">
        <f t="shared" ca="1" si="13"/>
        <v>151</v>
      </c>
      <c r="Y5" s="24">
        <f t="shared" ca="1" si="14"/>
        <v>4.9643835616438352</v>
      </c>
    </row>
    <row r="6" spans="1:27" x14ac:dyDescent="0.35">
      <c r="A6" s="7" t="s">
        <v>6</v>
      </c>
      <c r="B6" s="3">
        <v>27</v>
      </c>
      <c r="C6" s="1" t="s">
        <v>20</v>
      </c>
      <c r="D6" s="1">
        <v>63</v>
      </c>
      <c r="E6" s="1" t="str">
        <f t="shared" si="0"/>
        <v>B</v>
      </c>
      <c r="F6" s="1" t="s">
        <v>31</v>
      </c>
      <c r="G6" s="1" t="str">
        <f>IFERROR(VLOOKUP(D6,Grades_sheet!$A$1:$B$6,2,TRUE),"Missing")</f>
        <v>B</v>
      </c>
      <c r="H6" s="1" t="str">
        <f t="shared" si="1"/>
        <v>B</v>
      </c>
      <c r="I6" s="1" t="s">
        <v>61</v>
      </c>
      <c r="J6" s="1" t="s">
        <v>49</v>
      </c>
      <c r="K6" s="1" t="str">
        <f t="shared" si="2"/>
        <v>Pedric Chioma</v>
      </c>
      <c r="L6" s="1" t="str">
        <f t="shared" si="3"/>
        <v>pedric.chioma@gmail.com</v>
      </c>
      <c r="M6" s="1" t="s">
        <v>72</v>
      </c>
      <c r="N6" s="1" t="str">
        <f t="shared" si="4"/>
        <v>02</v>
      </c>
      <c r="O6" s="1" t="str">
        <f t="shared" si="5"/>
        <v>2020</v>
      </c>
      <c r="P6" s="1" t="str">
        <f t="shared" si="6"/>
        <v>South</v>
      </c>
      <c r="Q6" s="1">
        <f t="shared" si="7"/>
        <v>5</v>
      </c>
      <c r="R6" s="1">
        <f t="shared" si="8"/>
        <v>13</v>
      </c>
      <c r="S6" s="19">
        <v>45537</v>
      </c>
      <c r="T6" s="1">
        <f t="shared" si="9"/>
        <v>2</v>
      </c>
      <c r="U6" s="1">
        <f t="shared" si="10"/>
        <v>9</v>
      </c>
      <c r="V6" s="1">
        <f t="shared" si="11"/>
        <v>2024</v>
      </c>
      <c r="W6" s="5">
        <f t="shared" ca="1" si="12"/>
        <v>597</v>
      </c>
      <c r="X6" s="5">
        <f t="shared" ca="1" si="13"/>
        <v>49.75</v>
      </c>
      <c r="Y6" s="24">
        <f t="shared" ca="1" si="14"/>
        <v>1.6356164383561644</v>
      </c>
    </row>
    <row r="7" spans="1:27" x14ac:dyDescent="0.35">
      <c r="A7" s="7" t="s">
        <v>7</v>
      </c>
      <c r="B7" s="3">
        <v>26</v>
      </c>
      <c r="C7" s="1" t="s">
        <v>16</v>
      </c>
      <c r="D7" s="1">
        <v>80</v>
      </c>
      <c r="E7" s="1" t="str">
        <f t="shared" si="0"/>
        <v>A</v>
      </c>
      <c r="F7" s="1" t="s">
        <v>32</v>
      </c>
      <c r="G7" s="1" t="str">
        <f>IFERROR(VLOOKUP(D7,Grades_sheet!$A$1:$B$6,2,TRUE),"Missing")</f>
        <v>A</v>
      </c>
      <c r="H7" s="1" t="str">
        <f t="shared" si="1"/>
        <v>A</v>
      </c>
      <c r="I7" s="1" t="s">
        <v>56</v>
      </c>
      <c r="J7" s="1" t="s">
        <v>50</v>
      </c>
      <c r="K7" s="1" t="str">
        <f t="shared" si="2"/>
        <v>Kendrick Ekpeyong</v>
      </c>
      <c r="L7" s="1" t="str">
        <f t="shared" si="3"/>
        <v>kendrick.ekpeyong@gmail.com</v>
      </c>
      <c r="M7" s="1" t="s">
        <v>73</v>
      </c>
      <c r="N7" s="1" t="str">
        <f t="shared" si="4"/>
        <v>03</v>
      </c>
      <c r="O7" s="1" t="str">
        <f t="shared" si="5"/>
        <v>2018</v>
      </c>
      <c r="P7" s="1" t="str">
        <f t="shared" si="6"/>
        <v>East</v>
      </c>
      <c r="Q7" s="1">
        <f t="shared" si="7"/>
        <v>4</v>
      </c>
      <c r="R7" s="1">
        <f t="shared" si="8"/>
        <v>12</v>
      </c>
      <c r="S7" s="19">
        <v>44687</v>
      </c>
      <c r="T7" s="1">
        <f t="shared" si="9"/>
        <v>6</v>
      </c>
      <c r="U7" s="1">
        <f t="shared" si="10"/>
        <v>5</v>
      </c>
      <c r="V7" s="1">
        <f t="shared" si="11"/>
        <v>2022</v>
      </c>
      <c r="W7" s="5">
        <f t="shared" ca="1" si="12"/>
        <v>1447</v>
      </c>
      <c r="X7" s="5">
        <f t="shared" ca="1" si="13"/>
        <v>120.58333333333333</v>
      </c>
      <c r="Y7" s="24">
        <f t="shared" ca="1" si="14"/>
        <v>3.9643835616438357</v>
      </c>
    </row>
    <row r="8" spans="1:27" x14ac:dyDescent="0.35">
      <c r="A8" s="7" t="s">
        <v>8</v>
      </c>
      <c r="B8" s="3">
        <v>24</v>
      </c>
      <c r="C8" s="1" t="s">
        <v>17</v>
      </c>
      <c r="D8" s="1">
        <v>45</v>
      </c>
      <c r="E8" s="1" t="str">
        <f t="shared" si="0"/>
        <v>D</v>
      </c>
      <c r="F8" s="1" t="s">
        <v>33</v>
      </c>
      <c r="G8" s="1" t="str">
        <f>IFERROR(VLOOKUP(D8,Grades_sheet!$A$1:$B$6,2,TRUE),"Missing")</f>
        <v>D</v>
      </c>
      <c r="H8" s="1" t="str">
        <f t="shared" si="1"/>
        <v>D</v>
      </c>
      <c r="I8" s="1" t="s">
        <v>57</v>
      </c>
      <c r="J8" s="1" t="s">
        <v>51</v>
      </c>
      <c r="K8" s="1" t="str">
        <f t="shared" si="2"/>
        <v>Kezia David</v>
      </c>
      <c r="L8" s="1" t="str">
        <f t="shared" si="3"/>
        <v>kezia.david@gmail.com</v>
      </c>
      <c r="M8" s="1" t="s">
        <v>74</v>
      </c>
      <c r="N8" s="1" t="str">
        <f t="shared" si="4"/>
        <v>02</v>
      </c>
      <c r="O8" s="1" t="str">
        <f t="shared" si="5"/>
        <v>2021</v>
      </c>
      <c r="P8" s="1" t="str">
        <f t="shared" si="6"/>
        <v>West</v>
      </c>
      <c r="Q8" s="1">
        <f t="shared" si="7"/>
        <v>4</v>
      </c>
      <c r="R8" s="1">
        <f t="shared" si="8"/>
        <v>12</v>
      </c>
      <c r="S8" s="19">
        <v>43377</v>
      </c>
      <c r="T8" s="1">
        <f t="shared" si="9"/>
        <v>4</v>
      </c>
      <c r="U8" s="1">
        <f t="shared" si="10"/>
        <v>10</v>
      </c>
      <c r="V8" s="1">
        <f t="shared" si="11"/>
        <v>2018</v>
      </c>
      <c r="W8" s="5">
        <f t="shared" ca="1" si="12"/>
        <v>2757</v>
      </c>
      <c r="X8" s="5">
        <f t="shared" ca="1" si="13"/>
        <v>229.75</v>
      </c>
      <c r="Y8" s="24">
        <f t="shared" ca="1" si="14"/>
        <v>7.5534246575342463</v>
      </c>
    </row>
    <row r="9" spans="1:27" x14ac:dyDescent="0.35">
      <c r="A9" s="7" t="s">
        <v>9</v>
      </c>
      <c r="B9" s="3">
        <v>24</v>
      </c>
      <c r="C9" s="1" t="s">
        <v>18</v>
      </c>
      <c r="D9" s="1">
        <v>36</v>
      </c>
      <c r="E9" s="1" t="str">
        <f t="shared" si="0"/>
        <v>F</v>
      </c>
      <c r="F9" s="1" t="s">
        <v>31</v>
      </c>
      <c r="G9" s="1" t="str">
        <f>IFERROR(VLOOKUP(D9,Grades_sheet!$A$1:$B$6,2,TRUE),"Missing")</f>
        <v>F</v>
      </c>
      <c r="H9" s="1" t="str">
        <f t="shared" si="1"/>
        <v>F</v>
      </c>
      <c r="I9" s="1" t="s">
        <v>58</v>
      </c>
      <c r="J9" s="1" t="s">
        <v>52</v>
      </c>
      <c r="K9" s="1" t="str">
        <f t="shared" si="2"/>
        <v>Michal Saul</v>
      </c>
      <c r="L9" s="1" t="str">
        <f t="shared" si="3"/>
        <v>michal.saul@gmail.com</v>
      </c>
      <c r="M9" s="1" t="s">
        <v>75</v>
      </c>
      <c r="N9" s="1" t="str">
        <f t="shared" si="4"/>
        <v>01</v>
      </c>
      <c r="O9" s="1" t="str">
        <f t="shared" si="5"/>
        <v>2014</v>
      </c>
      <c r="P9" s="1" t="str">
        <f t="shared" si="6"/>
        <v>North</v>
      </c>
      <c r="Q9" s="1">
        <f t="shared" si="7"/>
        <v>5</v>
      </c>
      <c r="R9" s="1">
        <f t="shared" si="8"/>
        <v>13</v>
      </c>
      <c r="S9" s="19">
        <v>43658</v>
      </c>
      <c r="T9" s="1">
        <f t="shared" si="9"/>
        <v>12</v>
      </c>
      <c r="U9" s="1">
        <f t="shared" si="10"/>
        <v>7</v>
      </c>
      <c r="V9" s="1">
        <f t="shared" si="11"/>
        <v>2019</v>
      </c>
      <c r="W9" s="5">
        <f t="shared" ca="1" si="12"/>
        <v>2476</v>
      </c>
      <c r="X9" s="5">
        <f t="shared" ca="1" si="13"/>
        <v>206.33333333333334</v>
      </c>
      <c r="Y9" s="24">
        <f t="shared" ca="1" si="14"/>
        <v>6.7835616438356166</v>
      </c>
    </row>
    <row r="10" spans="1:27" x14ac:dyDescent="0.35">
      <c r="A10" s="7" t="s">
        <v>10</v>
      </c>
      <c r="B10" s="3">
        <v>26</v>
      </c>
      <c r="C10" s="1" t="s">
        <v>19</v>
      </c>
      <c r="D10" s="1">
        <v>43</v>
      </c>
      <c r="E10" s="1" t="str">
        <f t="shared" si="0"/>
        <v>F</v>
      </c>
      <c r="F10" s="1" t="s">
        <v>32</v>
      </c>
      <c r="G10" s="1" t="str">
        <f>IFERROR(VLOOKUP(D10,Grades_sheet!$A$1:$B$6,2,TRUE),"Missing")</f>
        <v>F</v>
      </c>
      <c r="H10" s="1" t="str">
        <f t="shared" si="1"/>
        <v>F</v>
      </c>
      <c r="I10" s="1" t="s">
        <v>28</v>
      </c>
      <c r="J10" s="1" t="s">
        <v>53</v>
      </c>
      <c r="K10" s="1" t="str">
        <f t="shared" si="2"/>
        <v>Dinah Jacob</v>
      </c>
      <c r="L10" s="1" t="str">
        <f t="shared" si="3"/>
        <v>dinah.jacob@gmail.com</v>
      </c>
      <c r="M10" s="1" t="s">
        <v>76</v>
      </c>
      <c r="N10" s="1" t="str">
        <f t="shared" si="4"/>
        <v>02</v>
      </c>
      <c r="O10" s="1" t="str">
        <f t="shared" si="5"/>
        <v>2019</v>
      </c>
      <c r="P10" s="1" t="str">
        <f t="shared" si="6"/>
        <v>South</v>
      </c>
      <c r="Q10" s="1">
        <f t="shared" si="7"/>
        <v>5</v>
      </c>
      <c r="R10" s="1">
        <f t="shared" si="8"/>
        <v>13</v>
      </c>
      <c r="S10" s="19">
        <v>45140</v>
      </c>
      <c r="T10" s="1">
        <f t="shared" si="9"/>
        <v>2</v>
      </c>
      <c r="U10" s="1">
        <f t="shared" si="10"/>
        <v>8</v>
      </c>
      <c r="V10" s="1">
        <f t="shared" si="11"/>
        <v>2023</v>
      </c>
      <c r="W10" s="5">
        <f t="shared" ca="1" si="12"/>
        <v>994</v>
      </c>
      <c r="X10" s="5">
        <f t="shared" ca="1" si="13"/>
        <v>82.833333333333329</v>
      </c>
      <c r="Y10" s="24">
        <f t="shared" ca="1" si="14"/>
        <v>2.7232876712328768</v>
      </c>
    </row>
    <row r="11" spans="1:27" x14ac:dyDescent="0.35">
      <c r="A11" s="7" t="s">
        <v>11</v>
      </c>
      <c r="B11" s="3">
        <v>25</v>
      </c>
      <c r="C11" s="1" t="s">
        <v>16</v>
      </c>
      <c r="D11" s="1">
        <v>65</v>
      </c>
      <c r="E11" s="1" t="str">
        <f t="shared" si="0"/>
        <v>B</v>
      </c>
      <c r="F11" s="1" t="s">
        <v>33</v>
      </c>
      <c r="G11" s="1" t="str">
        <f>IFERROR(VLOOKUP(D11,Grades_sheet!$A$1:$B$6,2,TRUE),"Missing")</f>
        <v>B</v>
      </c>
      <c r="H11" s="1" t="str">
        <f t="shared" si="1"/>
        <v>B</v>
      </c>
      <c r="I11" s="1" t="s">
        <v>59</v>
      </c>
      <c r="J11" s="1" t="s">
        <v>54</v>
      </c>
      <c r="K11" s="1" t="str">
        <f t="shared" si="2"/>
        <v>Andrew Peter</v>
      </c>
      <c r="L11" s="1" t="str">
        <f t="shared" si="3"/>
        <v>andrew.peter@gmail.com</v>
      </c>
      <c r="M11" s="1" t="s">
        <v>77</v>
      </c>
      <c r="N11" s="1" t="str">
        <f t="shared" si="4"/>
        <v>01</v>
      </c>
      <c r="O11" s="1" t="str">
        <f t="shared" si="5"/>
        <v>2020</v>
      </c>
      <c r="P11" s="1" t="str">
        <f t="shared" si="6"/>
        <v>North</v>
      </c>
      <c r="Q11" s="1">
        <f t="shared" si="7"/>
        <v>5</v>
      </c>
      <c r="R11" s="1">
        <f t="shared" si="8"/>
        <v>13</v>
      </c>
      <c r="S11" s="19">
        <v>43833</v>
      </c>
      <c r="T11" s="1">
        <f t="shared" si="9"/>
        <v>3</v>
      </c>
      <c r="U11" s="1">
        <f t="shared" si="10"/>
        <v>1</v>
      </c>
      <c r="V11" s="1">
        <f t="shared" si="11"/>
        <v>2020</v>
      </c>
      <c r="W11" s="5">
        <f t="shared" ca="1" si="12"/>
        <v>2301</v>
      </c>
      <c r="X11" s="5">
        <f t="shared" ca="1" si="13"/>
        <v>191.75</v>
      </c>
      <c r="Y11" s="24">
        <f t="shared" ca="1" si="14"/>
        <v>6.3041095890410963</v>
      </c>
    </row>
    <row r="12" spans="1:27" x14ac:dyDescent="0.35">
      <c r="A12" s="8" t="s">
        <v>12</v>
      </c>
      <c r="B12" s="9">
        <v>24</v>
      </c>
      <c r="C12" s="15" t="s">
        <v>13</v>
      </c>
      <c r="D12" s="15">
        <v>55</v>
      </c>
      <c r="E12" s="15" t="str">
        <f t="shared" si="0"/>
        <v>C</v>
      </c>
      <c r="F12" s="15" t="s">
        <v>31</v>
      </c>
      <c r="G12" s="1" t="str">
        <f>IFERROR(VLOOKUP(D12,Grades_sheet!$A$1:$B$6,2,TRUE),"Missing")</f>
        <v>C</v>
      </c>
      <c r="H12" s="15" t="str">
        <f t="shared" si="1"/>
        <v>C</v>
      </c>
      <c r="I12" s="15" t="s">
        <v>60</v>
      </c>
      <c r="J12" s="15" t="s">
        <v>55</v>
      </c>
      <c r="K12" s="15" t="str">
        <f t="shared" si="2"/>
        <v>Mauton Joshua</v>
      </c>
      <c r="L12" s="15" t="str">
        <f t="shared" si="3"/>
        <v>mauton.joshua@gmail.com</v>
      </c>
      <c r="M12" s="15" t="s">
        <v>78</v>
      </c>
      <c r="N12" s="15" t="str">
        <f t="shared" si="4"/>
        <v>02</v>
      </c>
      <c r="O12" s="15" t="str">
        <f t="shared" si="5"/>
        <v>2017</v>
      </c>
      <c r="P12" s="15" t="str">
        <f t="shared" si="6"/>
        <v>West</v>
      </c>
      <c r="Q12" s="15">
        <f t="shared" si="7"/>
        <v>4</v>
      </c>
      <c r="R12" s="15">
        <f t="shared" si="8"/>
        <v>12</v>
      </c>
      <c r="S12" s="22">
        <v>45698</v>
      </c>
      <c r="T12" s="15">
        <f t="shared" si="9"/>
        <v>10</v>
      </c>
      <c r="U12" s="15">
        <f t="shared" si="10"/>
        <v>2</v>
      </c>
      <c r="V12" s="15">
        <f t="shared" si="11"/>
        <v>2025</v>
      </c>
      <c r="W12" s="23">
        <f t="shared" ca="1" si="12"/>
        <v>436</v>
      </c>
      <c r="X12" s="23">
        <f t="shared" ca="1" si="13"/>
        <v>36.333333333333336</v>
      </c>
      <c r="Y12" s="34">
        <f t="shared" ca="1" si="14"/>
        <v>1.1945205479452055</v>
      </c>
    </row>
    <row r="13" spans="1:27" x14ac:dyDescent="0.35">
      <c r="C13" s="14"/>
      <c r="D13" s="14"/>
    </row>
    <row r="14" spans="1:27" x14ac:dyDescent="0.35">
      <c r="C14" s="14" t="s">
        <v>23</v>
      </c>
      <c r="D14" s="14">
        <f>SUM(D3:D12)</f>
        <v>568</v>
      </c>
      <c r="G14" s="17" t="s">
        <v>30</v>
      </c>
      <c r="H14" s="14" t="s">
        <v>34</v>
      </c>
      <c r="I14" s="14" t="s">
        <v>23</v>
      </c>
      <c r="J14" s="14" t="s">
        <v>24</v>
      </c>
      <c r="L14" s="21" t="s">
        <v>22</v>
      </c>
      <c r="M14" s="21" t="s">
        <v>30</v>
      </c>
    </row>
    <row r="15" spans="1:27" x14ac:dyDescent="0.35">
      <c r="A15" cm="1">
        <f t="array" ref="A15">SUMIF(Department,F3,Score)</f>
        <v>231</v>
      </c>
      <c r="C15" s="14" t="s">
        <v>24</v>
      </c>
      <c r="D15" s="14">
        <f>AVERAGE(D3:D12)</f>
        <v>56.8</v>
      </c>
      <c r="G15" s="17" t="s">
        <v>31</v>
      </c>
      <c r="H15" s="1">
        <f>SUMIF(F3:F12,F3,D3:D12)</f>
        <v>231</v>
      </c>
      <c r="I15" s="1">
        <f>COUNTIF(F3:F12,"HR")</f>
        <v>4</v>
      </c>
      <c r="J15" s="1">
        <f>AVERAGEIF(F3:F12,F3,D3:D12)</f>
        <v>57.75</v>
      </c>
      <c r="L15" t="s">
        <v>85</v>
      </c>
      <c r="M15" t="s">
        <v>31</v>
      </c>
    </row>
    <row r="16" spans="1:27" x14ac:dyDescent="0.35">
      <c r="A16" cm="1">
        <f t="array" ref="A16">AVERAGEIF(Department,F3,Score)</f>
        <v>57.75</v>
      </c>
      <c r="C16" s="14" t="s">
        <v>25</v>
      </c>
      <c r="D16" s="14">
        <f>MIN(D3:D12)</f>
        <v>36</v>
      </c>
      <c r="G16" s="17" t="s">
        <v>32</v>
      </c>
      <c r="H16" s="1">
        <f>SUMIF(F3:F12,F4,D3:D12)</f>
        <v>178</v>
      </c>
      <c r="I16" s="1">
        <f>COUNTIF(F4:F13,"Tech")</f>
        <v>3</v>
      </c>
      <c r="J16" s="3">
        <f>AVERAGEIF(F3:F12,F4,D3:D12)</f>
        <v>59.333333333333336</v>
      </c>
    </row>
    <row r="17" spans="1:10" x14ac:dyDescent="0.35">
      <c r="A17">
        <f>COUNTIF(Department,F3)</f>
        <v>4</v>
      </c>
      <c r="C17" s="14" t="s">
        <v>26</v>
      </c>
      <c r="D17" s="14">
        <f>MAX(D3:D12)</f>
        <v>80</v>
      </c>
      <c r="G17" s="17" t="s">
        <v>33</v>
      </c>
      <c r="H17" s="1">
        <f>SUMIF(F3:F12,F5,D3:D12)</f>
        <v>159</v>
      </c>
      <c r="I17" s="1">
        <f>COUNTIF(F5:F14,"Finance")</f>
        <v>3</v>
      </c>
      <c r="J17" s="1">
        <f>AVERAGEIF(F3:F12,F5,D3:D12)</f>
        <v>53</v>
      </c>
    </row>
    <row r="18" spans="1:10" x14ac:dyDescent="0.35">
      <c r="C18" s="14" t="s">
        <v>27</v>
      </c>
      <c r="D18" s="14">
        <f>COUNT(D3:D12)</f>
        <v>10</v>
      </c>
    </row>
    <row r="20" spans="1:10" x14ac:dyDescent="0.35">
      <c r="J20" s="4"/>
    </row>
  </sheetData>
  <conditionalFormatting sqref="A3:Y12">
    <cfRule type="expression" dxfId="4" priority="2">
      <formula>$A3=$AA$2</formula>
    </cfRule>
  </conditionalFormatting>
  <conditionalFormatting sqref="D3:D12">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sqref="F3:F12" xr:uid="{CB69F353-D3B7-4C89-8C6A-C3710F196712}">
      <formula1>"Finance,HR,Tech"</formula1>
    </dataValidation>
    <dataValidation type="list" allowBlank="1" showInputMessage="1" showErrorMessage="1" sqref="A3:A12 AA2" xr:uid="{C94E496F-C063-45B8-B1D4-F714BC1611C7}">
      <formula1>Name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16BD5-DF96-4C87-90BE-9B0C54304BD3}">
  <sheetPr>
    <tabColor theme="4"/>
  </sheetPr>
  <dimension ref="A1:C6"/>
  <sheetViews>
    <sheetView workbookViewId="0">
      <selection activeCell="A2" sqref="A2"/>
    </sheetView>
  </sheetViews>
  <sheetFormatPr defaultRowHeight="14.5" x14ac:dyDescent="0.35"/>
  <cols>
    <col min="1" max="1" width="10.7265625" bestFit="1" customWidth="1"/>
    <col min="3" max="3" width="12.81640625" customWidth="1"/>
  </cols>
  <sheetData>
    <row r="1" spans="1:3" ht="16.5" thickBot="1" x14ac:dyDescent="0.45">
      <c r="A1" s="37" t="s">
        <v>36</v>
      </c>
      <c r="B1" s="37" t="s">
        <v>35</v>
      </c>
      <c r="C1" s="40" t="s">
        <v>94</v>
      </c>
    </row>
    <row r="2" spans="1:3" ht="15" thickTop="1" x14ac:dyDescent="0.35">
      <c r="A2">
        <v>0</v>
      </c>
      <c r="B2" t="s">
        <v>37</v>
      </c>
      <c r="C2" s="38" t="s">
        <v>31</v>
      </c>
    </row>
    <row r="3" spans="1:3" x14ac:dyDescent="0.35">
      <c r="A3">
        <v>45</v>
      </c>
      <c r="B3" t="s">
        <v>38</v>
      </c>
      <c r="C3" s="39" t="s">
        <v>32</v>
      </c>
    </row>
    <row r="4" spans="1:3" x14ac:dyDescent="0.35">
      <c r="A4">
        <v>50</v>
      </c>
      <c r="B4" t="s">
        <v>39</v>
      </c>
      <c r="C4" s="41" t="s">
        <v>33</v>
      </c>
    </row>
    <row r="5" spans="1:3" x14ac:dyDescent="0.35">
      <c r="A5">
        <v>60</v>
      </c>
      <c r="B5" t="s">
        <v>40</v>
      </c>
    </row>
    <row r="6" spans="1:3" x14ac:dyDescent="0.35">
      <c r="A6">
        <v>70</v>
      </c>
      <c r="B6" t="s">
        <v>41</v>
      </c>
    </row>
  </sheetData>
  <conditionalFormatting sqref="C2:C4">
    <cfRule type="expression" dxfId="3" priority="1">
      <formula>$A2=$AA$2</formula>
    </cfRule>
  </conditionalFormatting>
  <dataValidations count="1">
    <dataValidation type="list" allowBlank="1" showInputMessage="1" showErrorMessage="1" sqref="C2:C4" xr:uid="{AB673475-39AB-4871-8F9F-459BD1BCB66C}">
      <formula1>"Finance,HR,Tech"</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4B1E-58F7-4FAE-AD45-4C9358DD4430}">
  <sheetPr>
    <tabColor rgb="FFFF0000"/>
  </sheetPr>
  <dimension ref="A3:C7"/>
  <sheetViews>
    <sheetView topLeftCell="A4" workbookViewId="0">
      <selection activeCell="O4" sqref="O4"/>
    </sheetView>
  </sheetViews>
  <sheetFormatPr defaultRowHeight="14.5" x14ac:dyDescent="0.35"/>
  <cols>
    <col min="1" max="1" width="12.453125" bestFit="1" customWidth="1"/>
    <col min="2" max="2" width="14.54296875" bestFit="1" customWidth="1"/>
    <col min="3" max="3" width="13.08984375" bestFit="1" customWidth="1"/>
  </cols>
  <sheetData>
    <row r="3" spans="1:3" x14ac:dyDescent="0.35">
      <c r="A3" s="35" t="s">
        <v>88</v>
      </c>
      <c r="B3" t="s">
        <v>90</v>
      </c>
      <c r="C3" t="s">
        <v>99</v>
      </c>
    </row>
    <row r="4" spans="1:3" x14ac:dyDescent="0.35">
      <c r="A4" s="36" t="s">
        <v>33</v>
      </c>
      <c r="B4" s="42">
        <v>53</v>
      </c>
      <c r="C4" s="42">
        <v>3</v>
      </c>
    </row>
    <row r="5" spans="1:3" x14ac:dyDescent="0.35">
      <c r="A5" s="36" t="s">
        <v>31</v>
      </c>
      <c r="B5" s="42">
        <v>57.75</v>
      </c>
      <c r="C5" s="42">
        <v>4</v>
      </c>
    </row>
    <row r="6" spans="1:3" x14ac:dyDescent="0.35">
      <c r="A6" s="36" t="s">
        <v>32</v>
      </c>
      <c r="B6" s="4">
        <v>59.333333333333336</v>
      </c>
      <c r="C6" s="42">
        <v>3</v>
      </c>
    </row>
    <row r="7" spans="1:3" x14ac:dyDescent="0.35">
      <c r="A7" s="36" t="s">
        <v>89</v>
      </c>
      <c r="B7" s="42">
        <v>56.8</v>
      </c>
      <c r="C7" s="42">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3750-6CA5-4217-9333-FE9C4FC2F872}">
  <sheetPr>
    <tabColor rgb="FF00B050"/>
  </sheetPr>
  <dimension ref="A1:L5"/>
  <sheetViews>
    <sheetView showGridLines="0" topLeftCell="A2" workbookViewId="0">
      <selection activeCell="K7" sqref="K7"/>
    </sheetView>
  </sheetViews>
  <sheetFormatPr defaultRowHeight="14.5" x14ac:dyDescent="0.35"/>
  <cols>
    <col min="1" max="1" width="17" customWidth="1"/>
    <col min="2" max="2" width="21.81640625" customWidth="1"/>
    <col min="3" max="3" width="15.453125" customWidth="1"/>
    <col min="4" max="4" width="18.81640625" customWidth="1"/>
    <col min="5" max="5" width="15.453125" customWidth="1"/>
    <col min="11" max="11" width="13.81640625" bestFit="1" customWidth="1"/>
    <col min="12" max="12" width="11.08984375" bestFit="1" customWidth="1"/>
  </cols>
  <sheetData>
    <row r="1" spans="1:12" ht="21" x14ac:dyDescent="0.5">
      <c r="A1" s="44" t="s">
        <v>101</v>
      </c>
      <c r="B1" s="44"/>
      <c r="C1" s="44"/>
      <c r="D1" s="44"/>
      <c r="E1" s="44"/>
      <c r="F1" s="44"/>
      <c r="G1" s="44"/>
      <c r="H1" s="44"/>
      <c r="I1" s="44"/>
      <c r="J1" s="44"/>
      <c r="K1" s="44"/>
      <c r="L1" s="44"/>
    </row>
    <row r="2" spans="1:12" ht="18.5" x14ac:dyDescent="0.45">
      <c r="A2" s="10" t="s">
        <v>95</v>
      </c>
      <c r="B2" s="10" t="s">
        <v>96</v>
      </c>
      <c r="C2" s="10" t="s">
        <v>97</v>
      </c>
      <c r="D2" s="10" t="s">
        <v>98</v>
      </c>
      <c r="E2" s="10"/>
      <c r="K2" s="10" t="s">
        <v>30</v>
      </c>
      <c r="L2" s="10" t="s">
        <v>100</v>
      </c>
    </row>
    <row r="3" spans="1:12" x14ac:dyDescent="0.35">
      <c r="A3" s="43">
        <f>COUNTA(S_P_D!A2:A12)</f>
        <v>11</v>
      </c>
      <c r="B3" s="43">
        <f>AVERAGE(S_P_D!D3:D12)</f>
        <v>56.8</v>
      </c>
      <c r="C3" s="43" cm="1">
        <f t="array" ref="C3">COUNTIF(Score,"&gt;=50")/COUNT(Score)*100</f>
        <v>60</v>
      </c>
      <c r="D3" s="43" t="str">
        <f>INDEX(Pivot_tables!A4:A6,MATCH(MAX(Pivot_tables!B4:B6),Pivot_tables!B4:B6,0))</f>
        <v>Tech</v>
      </c>
      <c r="K3" t="s">
        <v>31</v>
      </c>
      <c r="L3">
        <f>GETPIVOTDATA("Average of Score",Pivot_tables!$A$3,"Department","Finance")</f>
        <v>53</v>
      </c>
    </row>
    <row r="4" spans="1:12" x14ac:dyDescent="0.35">
      <c r="K4" t="s">
        <v>33</v>
      </c>
      <c r="L4">
        <f>GETPIVOTDATA("Average of Score",Pivot_tables!$A$3,"Department","HR")</f>
        <v>57.75</v>
      </c>
    </row>
    <row r="5" spans="1:12" x14ac:dyDescent="0.35">
      <c r="K5" t="s">
        <v>32</v>
      </c>
      <c r="L5" s="4">
        <f>GETPIVOTDATA("Average of Score",Pivot_tables!$A$3,"Department","Tech")</f>
        <v>59.333333333333336</v>
      </c>
    </row>
  </sheetData>
  <mergeCells count="1">
    <mergeCell ref="A1:L1"/>
  </mergeCells>
  <conditionalFormatting sqref="L2:L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S_P_D</vt:lpstr>
      <vt:lpstr>Grades_sheet</vt:lpstr>
      <vt:lpstr>Pivot_tables</vt:lpstr>
      <vt:lpstr>Dashboard</vt:lpstr>
      <vt:lpstr>S_P_D!Criteria</vt:lpstr>
      <vt:lpstr>Department</vt:lpstr>
      <vt:lpstr>Name</vt:lpstr>
      <vt:lpstr>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Holy Essien</dc:creator>
  <cp:lastModifiedBy>Holy Essien</cp:lastModifiedBy>
  <dcterms:created xsi:type="dcterms:W3CDTF">2026-03-31T15:20:29Z</dcterms:created>
  <dcterms:modified xsi:type="dcterms:W3CDTF">2026-04-22T21:44:53Z</dcterms:modified>
</cp:coreProperties>
</file>