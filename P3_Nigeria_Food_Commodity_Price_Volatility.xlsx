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D1B3AA7A-42ED-4355-95B7-069FC2EFFF9E}" xr6:coauthVersionLast="47" xr6:coauthVersionMax="47" xr10:uidLastSave="{00000000-0000-0000-0000-000000000000}"/>
  <bookViews>
    <workbookView xWindow="-110" yWindow="-110" windowWidth="19420" windowHeight="10300" firstSheet="1" activeTab="1" xr2:uid="{3D2C7C82-5D7C-41BF-AE0E-139D1E34C6B0}"/>
  </bookViews>
  <sheets>
    <sheet name="Nigeria_Food_Prices_2025_Data" sheetId="2" r:id="rId1"/>
    <sheet name="Pivot_Tables" sheetId="3" r:id="rId2"/>
    <sheet name="Rolling_Average_Analysis" sheetId="4" r:id="rId3"/>
    <sheet name="Dashboard" sheetId="1" r:id="rId4"/>
    <sheet name="Price Trends" sheetId="5" r:id="rId5"/>
  </sheets>
  <definedNames>
    <definedName name="ExternalData_1" localSheetId="0" hidden="1">Nigeria_Food_Prices_2025_Data!$A$1:$I$523</definedName>
    <definedName name="Slicer_Item_Label">#N/A</definedName>
    <definedName name="Slicer_Item_Label1">#N/A</definedName>
    <definedName name="Slicer_Month">#N/A</definedName>
    <definedName name="Slicer_Month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4" l="1"/>
  <c r="S6" i="4"/>
  <c r="S7" i="4"/>
  <c r="S8" i="4"/>
  <c r="S9" i="4"/>
  <c r="S10" i="4"/>
  <c r="S11" i="4"/>
  <c r="S12" i="4"/>
  <c r="S13" i="4"/>
  <c r="S4" i="4"/>
  <c r="R6" i="4"/>
  <c r="R7" i="4"/>
  <c r="R8" i="4"/>
  <c r="R9" i="4"/>
  <c r="R10" i="4"/>
  <c r="R11" i="4"/>
  <c r="R12" i="4"/>
  <c r="R13" i="4"/>
  <c r="R5" i="4"/>
  <c r="R4" i="4"/>
  <c r="O5" i="4"/>
  <c r="P5" i="4"/>
  <c r="P6" i="4"/>
  <c r="P7" i="4"/>
  <c r="P8" i="4"/>
  <c r="P9" i="4"/>
  <c r="P10" i="4"/>
  <c r="P11" i="4"/>
  <c r="P12" i="4"/>
  <c r="P13" i="4"/>
  <c r="P4" i="4"/>
  <c r="O6" i="4"/>
  <c r="O7" i="4"/>
  <c r="O8" i="4"/>
  <c r="O9" i="4"/>
  <c r="O10" i="4"/>
  <c r="O11" i="4"/>
  <c r="O12" i="4"/>
  <c r="O13" i="4"/>
  <c r="O4" i="4"/>
  <c r="L8" i="4"/>
  <c r="M8" i="4" s="1"/>
  <c r="L7" i="4"/>
  <c r="M7" i="4" s="1"/>
  <c r="L6" i="4"/>
  <c r="M6" i="4" s="1"/>
  <c r="L9" i="4"/>
  <c r="M9" i="4" s="1"/>
  <c r="L10" i="4"/>
  <c r="M10" i="4" s="1"/>
  <c r="L11" i="4"/>
  <c r="M11" i="4" s="1"/>
  <c r="L12" i="4"/>
  <c r="M12" i="4" s="1"/>
  <c r="L13" i="4"/>
  <c r="M13" i="4" s="1"/>
  <c r="L5" i="4"/>
  <c r="M5" i="4" s="1"/>
  <c r="L4" i="4"/>
  <c r="M4" i="4" s="1"/>
  <c r="I6" i="4"/>
  <c r="J6" i="4" s="1"/>
  <c r="I7" i="4"/>
  <c r="J7" i="4" s="1"/>
  <c r="I8" i="4"/>
  <c r="J8" i="4" s="1"/>
  <c r="I9" i="4"/>
  <c r="J9" i="4" s="1"/>
  <c r="I10" i="4"/>
  <c r="J10" i="4" s="1"/>
  <c r="I11" i="4"/>
  <c r="J11" i="4" s="1"/>
  <c r="I12" i="4"/>
  <c r="J12" i="4" s="1"/>
  <c r="I13" i="4"/>
  <c r="J13" i="4" s="1"/>
  <c r="I5" i="4"/>
  <c r="J5" i="4" s="1"/>
  <c r="I4" i="4"/>
  <c r="J4" i="4" s="1"/>
  <c r="F6" i="4"/>
  <c r="G6" i="4" s="1"/>
  <c r="F7" i="4"/>
  <c r="G7" i="4" s="1"/>
  <c r="F8" i="4"/>
  <c r="G8" i="4" s="1"/>
  <c r="F9" i="4"/>
  <c r="G9" i="4" s="1"/>
  <c r="F10" i="4"/>
  <c r="G10" i="4" s="1"/>
  <c r="F11" i="4"/>
  <c r="G11" i="4" s="1"/>
  <c r="F12" i="4"/>
  <c r="G12" i="4" s="1"/>
  <c r="F13" i="4"/>
  <c r="G13" i="4" s="1"/>
  <c r="F5" i="4"/>
  <c r="G5" i="4" s="1"/>
  <c r="F4" i="4"/>
  <c r="G4" i="4" s="1"/>
  <c r="C7" i="4"/>
  <c r="D7" i="4" s="1"/>
  <c r="C6" i="4"/>
  <c r="D6" i="4" s="1"/>
  <c r="C8" i="4"/>
  <c r="D8" i="4" s="1"/>
  <c r="C9" i="4"/>
  <c r="D9" i="4" s="1"/>
  <c r="C10" i="4"/>
  <c r="D10" i="4" s="1"/>
  <c r="C11" i="4"/>
  <c r="D11" i="4" s="1"/>
  <c r="C12" i="4"/>
  <c r="D12" i="4" s="1"/>
  <c r="C13" i="4"/>
  <c r="D13" i="4" s="1"/>
  <c r="C5" i="4"/>
  <c r="D5" i="4" s="1"/>
  <c r="C4" i="4"/>
  <c r="D4" i="4" s="1"/>
  <c r="O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AC9B86-C245-4947-8543-483C59D82E7E}" keepAlive="1" name="Query - Nigeria_Food_Prices_2025" description="Connection to the 'Nigeria_Food_Prices_2025' query in the workbook." type="5" refreshedVersion="8" background="1" saveData="1">
    <dbPr connection="Provider=Microsoft.Mashup.OleDb.1;Data Source=$Workbook$;Location=Nigeria_Food_Prices_2025;Extended Properties=&quot;&quot;" command="SELECT * FROM [Nigeria_Food_Prices_2025]"/>
  </connection>
  <connection id="2" xr16:uid="{AA3865CE-EBC1-4753-9125-36A8C065347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68B6A9CD-90D4-42BC-92B8-F49C2386A1E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8B62EE71-A31C-4BB8-8A4A-A8284B8CFC15}"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990C15D1-74DF-4056-A373-1549A82D735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<sst xmlns="http://schemas.openxmlformats.org/spreadsheetml/2006/main" count="1687" uniqueCount="110">
  <si>
    <t>Source.Name</t>
  </si>
  <si>
    <t>Item Label</t>
  </si>
  <si>
    <t>North Central</t>
  </si>
  <si>
    <t>North East</t>
  </si>
  <si>
    <t>North West</t>
  </si>
  <si>
    <t>South East</t>
  </si>
  <si>
    <t>South South</t>
  </si>
  <si>
    <t>South West</t>
  </si>
  <si>
    <t>Month</t>
  </si>
  <si>
    <t>April_2025.xlsx</t>
  </si>
  <si>
    <t xml:space="preserve">Agric hen eggs, </t>
  </si>
  <si>
    <t>April</t>
  </si>
  <si>
    <t>Agric hen eggs, (a Crate of 30 pieces)</t>
  </si>
  <si>
    <t>Beans Brown</t>
  </si>
  <si>
    <t>Beans white</t>
  </si>
  <si>
    <t>Beef Boneless</t>
  </si>
  <si>
    <t>Bread (sliced), 450g</t>
  </si>
  <si>
    <t>Bread (unsliced), 450g</t>
  </si>
  <si>
    <t>Carrots, fresh</t>
  </si>
  <si>
    <t>Cat fresh fish</t>
  </si>
  <si>
    <t>Chicken feet</t>
  </si>
  <si>
    <t>Chicken meat (Frozen)</t>
  </si>
  <si>
    <t>Chicken Wings</t>
  </si>
  <si>
    <t>Cray fish small white</t>
  </si>
  <si>
    <t>Dried fish, Bonga</t>
  </si>
  <si>
    <t>Garri white</t>
  </si>
  <si>
    <t>Garri Yellow</t>
  </si>
  <si>
    <t>Ginger, fresh</t>
  </si>
  <si>
    <t>Goat Meat Bone in</t>
  </si>
  <si>
    <t>Groundnut oil, 75cl</t>
  </si>
  <si>
    <t>Groundnuts, roasted,75cl bottle</t>
  </si>
  <si>
    <t>Irish Potatoe</t>
  </si>
  <si>
    <t>Local Rice (Broken)</t>
  </si>
  <si>
    <t>Mackerel, Frozen</t>
  </si>
  <si>
    <t>Maize (Corn) Grains (White) sold loose</t>
  </si>
  <si>
    <t xml:space="preserve">Onions, fresh </t>
  </si>
  <si>
    <t>Palm oil, 75cl</t>
  </si>
  <si>
    <t>Plantain (ripe)</t>
  </si>
  <si>
    <t>Plantain (unripe)</t>
  </si>
  <si>
    <t>Rice Local, short-Grained</t>
  </si>
  <si>
    <t>Rice Long-Grained (Imported)</t>
  </si>
  <si>
    <t>Semovita, Prepacked (1kg)</t>
  </si>
  <si>
    <t>Smoked fish</t>
  </si>
  <si>
    <t xml:space="preserve">Sweet potatoes </t>
  </si>
  <si>
    <t>Tilapia fresh fish (Epiya)</t>
  </si>
  <si>
    <t>Tin Milk-Evaporated, Peak Milk, 150g</t>
  </si>
  <si>
    <t>Tin Milk-Evaporated, Three Crown Milk, 160g</t>
  </si>
  <si>
    <t>Titus, frozen</t>
  </si>
  <si>
    <t xml:space="preserve">Tomatoes, fresh </t>
  </si>
  <si>
    <t>Vegetable Oil, 75cl</t>
  </si>
  <si>
    <t>Watermelon whole, medium size fresh</t>
  </si>
  <si>
    <t>Wheat Flour, Prepacked (2kg)</t>
  </si>
  <si>
    <t>Yam Tuber</t>
  </si>
  <si>
    <t>August_2025.xlsx</t>
  </si>
  <si>
    <t>August</t>
  </si>
  <si>
    <t>December_2025.xlsx</t>
  </si>
  <si>
    <t>December</t>
  </si>
  <si>
    <t>February_2025.xlsx</t>
  </si>
  <si>
    <t>February</t>
  </si>
  <si>
    <t>January_2025.xlsx</t>
  </si>
  <si>
    <t>January</t>
  </si>
  <si>
    <t>July_2025.xlsx</t>
  </si>
  <si>
    <t>July</t>
  </si>
  <si>
    <t>June_2025.xlsx</t>
  </si>
  <si>
    <t>June</t>
  </si>
  <si>
    <t>March_2025.xlsx</t>
  </si>
  <si>
    <t>March</t>
  </si>
  <si>
    <t>May_2025.xlsx</t>
  </si>
  <si>
    <t>May</t>
  </si>
  <si>
    <t>November_2025.xlsx</t>
  </si>
  <si>
    <t>November</t>
  </si>
  <si>
    <t>October_2025.xlsx</t>
  </si>
  <si>
    <t>October</t>
  </si>
  <si>
    <t>September_2025.xlsx</t>
  </si>
  <si>
    <t>September</t>
  </si>
  <si>
    <t>Row Labels</t>
  </si>
  <si>
    <t>(blank)</t>
  </si>
  <si>
    <t>Grand Total</t>
  </si>
  <si>
    <t>Average of South West</t>
  </si>
  <si>
    <t>Column Labels</t>
  </si>
  <si>
    <t>Nigeria Commodity Food Prices Dashboard-2025</t>
  </si>
  <si>
    <t>Monthly Average Prices by Geopolitical Zones</t>
  </si>
  <si>
    <t>Data Source: National Bureau of Statistics (NBS) /Year: 2025</t>
  </si>
  <si>
    <t>Egg_Price_Flag</t>
  </si>
  <si>
    <t>Beans_Brown_3 Month_Avg</t>
  </si>
  <si>
    <t>Beans_Brown_Price_Flag</t>
  </si>
  <si>
    <t>Garri_White_3 Month_Avg</t>
  </si>
  <si>
    <t>Eggs_3 Month_Avg</t>
  </si>
  <si>
    <t>Garri_White_Flag</t>
  </si>
  <si>
    <t>Onion,fresh_3 Month_Avg</t>
  </si>
  <si>
    <t>Rice Local, short-Grained_3 Month_Avg</t>
  </si>
  <si>
    <t>Tomatoes, fresh_3 Month_Avg</t>
  </si>
  <si>
    <t>Onions,fresh_Flag</t>
  </si>
  <si>
    <t>Rice Local,short-Grained_Flag</t>
  </si>
  <si>
    <t>Tomatoes,fresh_Flag</t>
  </si>
  <si>
    <t>SUMMARY TABLE</t>
  </si>
  <si>
    <t>Commodity</t>
  </si>
  <si>
    <t>Spike Months</t>
  </si>
  <si>
    <t>Eggs</t>
  </si>
  <si>
    <t>Brown Beans</t>
  </si>
  <si>
    <t>Garri White</t>
  </si>
  <si>
    <t>Onions</t>
  </si>
  <si>
    <t>Rice</t>
  </si>
  <si>
    <t>Tomatoes</t>
  </si>
  <si>
    <t>March, May, June</t>
  </si>
  <si>
    <t>March,April, May, June</t>
  </si>
  <si>
    <t>March,July</t>
  </si>
  <si>
    <t>March, April, July</t>
  </si>
  <si>
    <t>March,April,May, June, July, October</t>
  </si>
  <si>
    <t>March, April, May, June, 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</si>
</sst>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69]\ * #,##0.00_-;\-[$₦-469]\ * #,##0.00_-;_-[$₦-469]\ * &quot;-&quot;??_-;_-@_-"/>
    <numFmt numFmtId="165" formatCode="[$₦-469]\ #,##0.00"/>
  </numFmts>
  <fonts count="8" x14ac:knownFonts="1">
    <font>
      <sz val="11"/>
      <color theme="1"/>
      <name val="Aptos Narrow"/>
      <family val="2"/>
      <scheme val="minor"/>
    </font>
    <font>
      <i/>
      <sz val="12"/>
      <color theme="1"/>
      <name val="Aptos Narrow"/>
      <family val="2"/>
      <scheme val="minor"/>
    </font>
    <font>
      <b/>
      <sz val="18"/>
      <color theme="0"/>
      <name val="Aptos Narrow"/>
      <family val="2"/>
      <scheme val="minor"/>
    </font>
    <font>
      <sz val="10"/>
      <color theme="2" tint="-0.749992370372631"/>
      <name val="Aptos Narrow"/>
      <family val="2"/>
      <scheme val="minor"/>
    </font>
    <font>
      <sz val="11"/>
      <color theme="2" tint="-0.74999237037263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s>
  <fills count="9">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theme="6" tint="0.59999389629810485"/>
        <bgColor indexed="64"/>
      </patternFill>
    </fill>
  </fills>
  <borders count="3">
    <border>
      <left/>
      <right/>
      <top/>
      <bottom/>
      <diagonal/>
    </border>
    <border>
      <left/>
      <right/>
      <top/>
      <bottom style="thin">
        <color theme="4"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0" pivotButton="1" applyNumberFormat="1"/>
    <xf numFmtId="0" fontId="3" fillId="3" borderId="0" xfId="0" applyFont="1" applyFill="1" applyAlignment="1">
      <alignment horizontal="center"/>
    </xf>
    <xf numFmtId="14" fontId="0" fillId="0" borderId="0" xfId="0" applyNumberFormat="1"/>
    <xf numFmtId="165" fontId="0" fillId="0" borderId="0" xfId="0" applyNumberFormat="1"/>
    <xf numFmtId="0" fontId="5" fillId="6" borderId="1" xfId="0" applyFont="1" applyFill="1" applyBorder="1"/>
    <xf numFmtId="0" fontId="5" fillId="0" borderId="0" xfId="0" applyFont="1" applyAlignment="1">
      <alignment horizontal="left"/>
    </xf>
    <xf numFmtId="0" fontId="5" fillId="0" borderId="0" xfId="0" applyFont="1"/>
    <xf numFmtId="0" fontId="2" fillId="2" borderId="0" xfId="0" applyFont="1" applyFill="1" applyAlignment="1">
      <alignment horizontal="center"/>
    </xf>
    <xf numFmtId="0" fontId="1" fillId="4" borderId="0" xfId="0" applyFont="1" applyFill="1" applyAlignment="1">
      <alignment horizontal="center"/>
    </xf>
    <xf numFmtId="0" fontId="4" fillId="5" borderId="0" xfId="0" applyFont="1" applyFill="1" applyAlignment="1">
      <alignment horizontal="center"/>
    </xf>
    <xf numFmtId="0" fontId="7" fillId="7" borderId="0" xfId="0" applyFont="1" applyFill="1" applyAlignment="1">
      <alignment horizontal="center"/>
    </xf>
    <xf numFmtId="0" fontId="6" fillId="0" borderId="2" xfId="0" applyFont="1" applyBorder="1"/>
    <xf numFmtId="0" fontId="0" fillId="0" borderId="2" xfId="0" applyBorder="1"/>
    <xf numFmtId="0" fontId="0" fillId="8" borderId="2" xfId="0" applyFill="1" applyBorder="1"/>
    <xf numFmtId="4" fontId="0" fillId="0" borderId="0" xfId="0" applyNumberFormat="1"/>
  </cellXfs>
  <cellStyles count="1">
    <cellStyle name="Normal" xfId="0" builtinId="0"/>
  </cellStyles>
  <dxfs count="1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numFmt numFmtId="164" formatCode="_-[$₦-469]\ * #,##0.00_-;\-[$₦-469]\ * #,##0.00_-;_-[$₦-469]\ * &quot;-&quot;??_-;_-@_-"/>
    </dxf>
    <dxf>
      <numFmt numFmtId="164" formatCode="_-[$₦-469]\ * #,##0.00_-;\-[$₦-469]\ * #,##0.00_-;_-[$₦-469]\ * &quot;-&quot;??_-;_-@_-"/>
    </dxf>
    <dxf>
      <numFmt numFmtId="164" formatCode="_-[$₦-469]\ * #,##0.00_-;\-[$₦-469]\ * #,##0.00_-;_-[$₦-469]\ * &quot;-&quot;??_-;_-@_-"/>
    </dxf>
    <dxf>
      <numFmt numFmtId="164" formatCode="_-[$₦-469]\ * #,##0.00_-;\-[$₦-469]\ * #,##0.00_-;_-[$₦-469]\ * &quot;-&quot;??_-;_-@_-"/>
    </dxf>
    <dxf>
      <numFmt numFmtId="164" formatCode="_-[$₦-469]\ * #,##0.00_-;\-[$₦-469]\ * #,##0.00_-;_-[$₦-469]\ * &quot;-&quot;??_-;_-@_-"/>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Egg Prices 2025-Actual vs 3-Month Rolling Average</a:t>
            </a:r>
          </a:p>
        </c:rich>
      </c:tx>
      <c:layout>
        <c:manualLayout>
          <c:xMode val="edge"/>
          <c:yMode val="edge"/>
          <c:x val="0.10152077865266841"/>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Rolling_Average_Analysis!$B$1</c:f>
              <c:strCache>
                <c:ptCount val="1"/>
                <c:pt idx="0">
                  <c:v>Agric hen eggs,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Rolling_Average_Analysis!$B$2:$B$13</c:f>
              <c:numCache>
                <c:formatCode>General</c:formatCode>
                <c:ptCount val="12"/>
                <c:pt idx="0">
                  <c:v>250.83333333333334</c:v>
                </c:pt>
                <c:pt idx="1">
                  <c:v>257.5</c:v>
                </c:pt>
                <c:pt idx="2">
                  <c:v>268.66666666666669</c:v>
                </c:pt>
                <c:pt idx="3">
                  <c:v>258.16666666666669</c:v>
                </c:pt>
                <c:pt idx="4">
                  <c:v>269.53956349206351</c:v>
                </c:pt>
                <c:pt idx="5">
                  <c:v>267.53311825396827</c:v>
                </c:pt>
                <c:pt idx="6">
                  <c:v>263.83333333333331</c:v>
                </c:pt>
                <c:pt idx="7">
                  <c:v>248.71244345238097</c:v>
                </c:pt>
                <c:pt idx="8">
                  <c:v>248.2160615079365</c:v>
                </c:pt>
                <c:pt idx="9">
                  <c:v>247.77539484126979</c:v>
                </c:pt>
                <c:pt idx="10">
                  <c:v>242.51328107756851</c:v>
                </c:pt>
                <c:pt idx="11">
                  <c:v>241.73817897308334</c:v>
                </c:pt>
              </c:numCache>
            </c:numRef>
          </c:val>
          <c:smooth val="0"/>
          <c:extLst>
            <c:ext xmlns:c16="http://schemas.microsoft.com/office/drawing/2014/chart" uri="{C3380CC4-5D6E-409C-BE32-E72D297353CC}">
              <c16:uniqueId val="{00000000-470B-473B-9A9C-6910FD2E9714}"/>
            </c:ext>
          </c:extLst>
        </c:ser>
        <c:ser>
          <c:idx val="1"/>
          <c:order val="1"/>
          <c:tx>
            <c:strRef>
              <c:f>Rolling_Average_Analysis!$C$1</c:f>
              <c:strCache>
                <c:ptCount val="1"/>
                <c:pt idx="0">
                  <c:v>Eggs_3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Rolling_Average_Analysis!$C$4:$C$13</c:f>
              <c:numCache>
                <c:formatCode>General</c:formatCode>
                <c:ptCount val="10"/>
                <c:pt idx="0">
                  <c:v>259</c:v>
                </c:pt>
                <c:pt idx="1">
                  <c:v>261.44444444444451</c:v>
                </c:pt>
                <c:pt idx="2">
                  <c:v>265.45763227513231</c:v>
                </c:pt>
                <c:pt idx="3">
                  <c:v>265.07978280423282</c:v>
                </c:pt>
                <c:pt idx="4">
                  <c:v>266.96867169312168</c:v>
                </c:pt>
                <c:pt idx="5">
                  <c:v>260.02629834656085</c:v>
                </c:pt>
                <c:pt idx="6">
                  <c:v>253.5872794312169</c:v>
                </c:pt>
                <c:pt idx="7">
                  <c:v>248.23463326719573</c:v>
                </c:pt>
                <c:pt idx="8">
                  <c:v>246.16824580892492</c:v>
                </c:pt>
                <c:pt idx="9">
                  <c:v>244.00895163064055</c:v>
                </c:pt>
              </c:numCache>
            </c:numRef>
          </c:val>
          <c:smooth val="0"/>
          <c:extLst>
            <c:ext xmlns:c16="http://schemas.microsoft.com/office/drawing/2014/chart" uri="{C3380CC4-5D6E-409C-BE32-E72D297353CC}">
              <c16:uniqueId val="{00000002-470B-473B-9A9C-6910FD2E9714}"/>
            </c:ext>
          </c:extLst>
        </c:ser>
        <c:dLbls>
          <c:showLegendKey val="0"/>
          <c:showVal val="0"/>
          <c:showCatName val="0"/>
          <c:showSerName val="0"/>
          <c:showPercent val="0"/>
          <c:showBubbleSize val="0"/>
        </c:dLbls>
        <c:marker val="1"/>
        <c:smooth val="0"/>
        <c:axId val="1198710767"/>
        <c:axId val="1198711247"/>
      </c:lineChart>
      <c:catAx>
        <c:axId val="119871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11247"/>
        <c:crosses val="autoZero"/>
        <c:auto val="1"/>
        <c:lblAlgn val="ctr"/>
        <c:lblOffset val="100"/>
        <c:noMultiLvlLbl val="0"/>
      </c:catAx>
      <c:valAx>
        <c:axId val="119871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1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Brown Beans Prices 2025- Actual vs 3-Month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Rolling_Average_Analysis!$E$1</c:f>
              <c:strCache>
                <c:ptCount val="1"/>
                <c:pt idx="0">
                  <c:v>Beans Brown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Rolling_Average_Analysis!$E$2:$E$13</c:f>
              <c:numCache>
                <c:formatCode>General</c:formatCode>
                <c:ptCount val="12"/>
                <c:pt idx="0">
                  <c:v>2382.2157781249998</c:v>
                </c:pt>
                <c:pt idx="1">
                  <c:v>2327.9352488564814</c:v>
                </c:pt>
                <c:pt idx="2">
                  <c:v>2466.6377561411578</c:v>
                </c:pt>
                <c:pt idx="3">
                  <c:v>2336.6666666666665</c:v>
                </c:pt>
                <c:pt idx="4">
                  <c:v>2275.6142204673711</c:v>
                </c:pt>
                <c:pt idx="5">
                  <c:v>2215.29875892769</c:v>
                </c:pt>
                <c:pt idx="6">
                  <c:v>2257.7852226934347</c:v>
                </c:pt>
                <c:pt idx="7">
                  <c:v>2140.4615655150883</c:v>
                </c:pt>
                <c:pt idx="8">
                  <c:v>2082.516463621414</c:v>
                </c:pt>
                <c:pt idx="9">
                  <c:v>2081.3257969547467</c:v>
                </c:pt>
                <c:pt idx="10">
                  <c:v>1730.8237707413964</c:v>
                </c:pt>
                <c:pt idx="11">
                  <c:v>1697.503033545695</c:v>
                </c:pt>
              </c:numCache>
            </c:numRef>
          </c:val>
          <c:smooth val="0"/>
          <c:extLst>
            <c:ext xmlns:c16="http://schemas.microsoft.com/office/drawing/2014/chart" uri="{C3380CC4-5D6E-409C-BE32-E72D297353CC}">
              <c16:uniqueId val="{00000000-017C-4E3E-83F5-96668EF539D1}"/>
            </c:ext>
          </c:extLst>
        </c:ser>
        <c:ser>
          <c:idx val="1"/>
          <c:order val="1"/>
          <c:tx>
            <c:strRef>
              <c:f>Rolling_Average_Analysis!$F$1</c:f>
              <c:strCache>
                <c:ptCount val="1"/>
                <c:pt idx="0">
                  <c:v>Beans_Brown_3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Rolling_Average_Analysis!$F$4:$F$13</c:f>
              <c:numCache>
                <c:formatCode>General</c:formatCode>
                <c:ptCount val="10"/>
                <c:pt idx="0">
                  <c:v>2392.2629277075462</c:v>
                </c:pt>
                <c:pt idx="1">
                  <c:v>2377.0798905547686</c:v>
                </c:pt>
                <c:pt idx="2">
                  <c:v>2359.6395477583987</c:v>
                </c:pt>
                <c:pt idx="3">
                  <c:v>2275.8598820205757</c:v>
                </c:pt>
                <c:pt idx="4">
                  <c:v>2249.5660673628322</c:v>
                </c:pt>
                <c:pt idx="5">
                  <c:v>2204.5151823787378</c:v>
                </c:pt>
                <c:pt idx="6">
                  <c:v>2160.2544172766457</c:v>
                </c:pt>
                <c:pt idx="7">
                  <c:v>2101.4346086970831</c:v>
                </c:pt>
                <c:pt idx="8">
                  <c:v>1964.8886771058524</c:v>
                </c:pt>
                <c:pt idx="9">
                  <c:v>1836.5508670806128</c:v>
                </c:pt>
              </c:numCache>
            </c:numRef>
          </c:val>
          <c:smooth val="0"/>
          <c:extLst>
            <c:ext xmlns:c16="http://schemas.microsoft.com/office/drawing/2014/chart" uri="{C3380CC4-5D6E-409C-BE32-E72D297353CC}">
              <c16:uniqueId val="{00000001-017C-4E3E-83F5-96668EF539D1}"/>
            </c:ext>
          </c:extLst>
        </c:ser>
        <c:dLbls>
          <c:showLegendKey val="0"/>
          <c:showVal val="0"/>
          <c:showCatName val="0"/>
          <c:showSerName val="0"/>
          <c:showPercent val="0"/>
          <c:showBubbleSize val="0"/>
        </c:dLbls>
        <c:marker val="1"/>
        <c:smooth val="0"/>
        <c:axId val="1198672367"/>
        <c:axId val="1198669487"/>
      </c:lineChart>
      <c:catAx>
        <c:axId val="119867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69487"/>
        <c:crosses val="autoZero"/>
        <c:auto val="1"/>
        <c:lblAlgn val="ctr"/>
        <c:lblOffset val="100"/>
        <c:noMultiLvlLbl val="0"/>
      </c:catAx>
      <c:valAx>
        <c:axId val="119866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7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Tomatoes,fresh-Prices 2025-Actual vs 3-Month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Rolling_Average_Analysis!$Q$1</c:f>
              <c:strCache>
                <c:ptCount val="1"/>
                <c:pt idx="0">
                  <c:v>Tomatoes, fresh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Rolling_Average_Analysis!$A$1:$A$13</c:f>
              <c:strCache>
                <c:ptCount val="13"/>
                <c:pt idx="0">
                  <c:v>Month</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strCache>
            </c:strRef>
          </c:cat>
          <c:val>
            <c:numRef>
              <c:f>Rolling_Average_Analysis!$Q$2:$Q$13</c:f>
              <c:numCache>
                <c:formatCode>General</c:formatCode>
                <c:ptCount val="12"/>
                <c:pt idx="0">
                  <c:v>1316.0256409861115</c:v>
                </c:pt>
                <c:pt idx="1">
                  <c:v>1351.2950938055551</c:v>
                </c:pt>
                <c:pt idx="2">
                  <c:v>1387.69930072593</c:v>
                </c:pt>
                <c:pt idx="3">
                  <c:v>1395</c:v>
                </c:pt>
                <c:pt idx="4">
                  <c:v>1578.7045342650524</c:v>
                </c:pt>
                <c:pt idx="5">
                  <c:v>1654.3022569292091</c:v>
                </c:pt>
                <c:pt idx="6">
                  <c:v>1600.2680141309436</c:v>
                </c:pt>
                <c:pt idx="7">
                  <c:v>1355.6876077866029</c:v>
                </c:pt>
                <c:pt idx="8">
                  <c:v>1371.20040683093</c:v>
                </c:pt>
                <c:pt idx="9">
                  <c:v>1372.3430734975962</c:v>
                </c:pt>
                <c:pt idx="10">
                  <c:v>1309.1023644724501</c:v>
                </c:pt>
                <c:pt idx="11">
                  <c:v>1188.7462368461333</c:v>
                </c:pt>
              </c:numCache>
            </c:numRef>
          </c:val>
          <c:smooth val="0"/>
          <c:extLst>
            <c:ext xmlns:c16="http://schemas.microsoft.com/office/drawing/2014/chart" uri="{C3380CC4-5D6E-409C-BE32-E72D297353CC}">
              <c16:uniqueId val="{00000000-F74E-4238-9691-089F194EF4E2}"/>
            </c:ext>
          </c:extLst>
        </c:ser>
        <c:ser>
          <c:idx val="1"/>
          <c:order val="1"/>
          <c:tx>
            <c:strRef>
              <c:f>Rolling_Average_Analysis!$R$1</c:f>
              <c:strCache>
                <c:ptCount val="1"/>
                <c:pt idx="0">
                  <c:v>Tomatoes, fresh_3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Rolling_Average_Analysis!$A$1:$A$13</c:f>
              <c:strCache>
                <c:ptCount val="13"/>
                <c:pt idx="0">
                  <c:v>Month</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strCache>
            </c:strRef>
          </c:cat>
          <c:val>
            <c:numRef>
              <c:f>Rolling_Average_Analysis!$R$4:$R$13</c:f>
              <c:numCache>
                <c:formatCode>General</c:formatCode>
                <c:ptCount val="10"/>
                <c:pt idx="0">
                  <c:v>1351.6733451725322</c:v>
                </c:pt>
                <c:pt idx="1">
                  <c:v>1377.9981315104951</c:v>
                </c:pt>
                <c:pt idx="2">
                  <c:v>1453.8012783303275</c:v>
                </c:pt>
                <c:pt idx="3">
                  <c:v>1542.6689303980872</c:v>
                </c:pt>
                <c:pt idx="4">
                  <c:v>1611.0916017750685</c:v>
                </c:pt>
                <c:pt idx="5">
                  <c:v>1536.7526262822519</c:v>
                </c:pt>
                <c:pt idx="6">
                  <c:v>1442.3853429161588</c:v>
                </c:pt>
                <c:pt idx="7">
                  <c:v>1366.4103627050429</c:v>
                </c:pt>
                <c:pt idx="8">
                  <c:v>1350.8819482669921</c:v>
                </c:pt>
                <c:pt idx="9">
                  <c:v>1290.0638916053933</c:v>
                </c:pt>
              </c:numCache>
            </c:numRef>
          </c:val>
          <c:smooth val="0"/>
          <c:extLst>
            <c:ext xmlns:c16="http://schemas.microsoft.com/office/drawing/2014/chart" uri="{C3380CC4-5D6E-409C-BE32-E72D297353CC}">
              <c16:uniqueId val="{00000003-F74E-4238-9691-089F194EF4E2}"/>
            </c:ext>
          </c:extLst>
        </c:ser>
        <c:dLbls>
          <c:showLegendKey val="0"/>
          <c:showVal val="0"/>
          <c:showCatName val="0"/>
          <c:showSerName val="0"/>
          <c:showPercent val="0"/>
          <c:showBubbleSize val="0"/>
        </c:dLbls>
        <c:marker val="1"/>
        <c:smooth val="0"/>
        <c:axId val="1388556511"/>
        <c:axId val="1388567071"/>
      </c:lineChart>
      <c:catAx>
        <c:axId val="138855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67071"/>
        <c:crosses val="autoZero"/>
        <c:auto val="1"/>
        <c:lblAlgn val="ctr"/>
        <c:lblOffset val="100"/>
        <c:noMultiLvlLbl val="0"/>
      </c:catAx>
      <c:valAx>
        <c:axId val="138856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5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Rice Local,short-Grained Prices 2025-Actual vs 3-Month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Rolling_Average_Analysis!$N$1</c:f>
              <c:strCache>
                <c:ptCount val="1"/>
                <c:pt idx="0">
                  <c:v>Rice Local, short-Grained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Rolling_Average_Analysis!$N$2:$N$13</c:f>
              <c:numCache>
                <c:formatCode>General</c:formatCode>
                <c:ptCount val="12"/>
                <c:pt idx="0">
                  <c:v>2080.8451451611113</c:v>
                </c:pt>
                <c:pt idx="1">
                  <c:v>2000.0973782777776</c:v>
                </c:pt>
                <c:pt idx="2">
                  <c:v>2126.6578113832406</c:v>
                </c:pt>
                <c:pt idx="3">
                  <c:v>2083.3333333333335</c:v>
                </c:pt>
                <c:pt idx="4">
                  <c:v>2034.4640988821091</c:v>
                </c:pt>
                <c:pt idx="5">
                  <c:v>2038.318678457181</c:v>
                </c:pt>
                <c:pt idx="6">
                  <c:v>2042.3639064420565</c:v>
                </c:pt>
                <c:pt idx="7">
                  <c:v>1977.1386220459001</c:v>
                </c:pt>
                <c:pt idx="8">
                  <c:v>1970.4099150269424</c:v>
                </c:pt>
                <c:pt idx="9">
                  <c:v>1966.8859150269434</c:v>
                </c:pt>
                <c:pt idx="10">
                  <c:v>1942.9822855879038</c:v>
                </c:pt>
                <c:pt idx="11">
                  <c:v>1939.3646643076165</c:v>
                </c:pt>
              </c:numCache>
            </c:numRef>
          </c:val>
          <c:smooth val="0"/>
          <c:extLst>
            <c:ext xmlns:c16="http://schemas.microsoft.com/office/drawing/2014/chart" uri="{C3380CC4-5D6E-409C-BE32-E72D297353CC}">
              <c16:uniqueId val="{00000000-DBEF-4F85-B4FC-CB1F16B8F5C0}"/>
            </c:ext>
          </c:extLst>
        </c:ser>
        <c:ser>
          <c:idx val="1"/>
          <c:order val="1"/>
          <c:tx>
            <c:strRef>
              <c:f>Rolling_Average_Analysis!$O$1</c:f>
              <c:strCache>
                <c:ptCount val="1"/>
                <c:pt idx="0">
                  <c:v>Rice Local, short-Grained_3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Rolling_Average_Analysis!$O$4:$O$13</c:f>
              <c:numCache>
                <c:formatCode>General</c:formatCode>
                <c:ptCount val="10"/>
                <c:pt idx="0">
                  <c:v>2069.2001116073766</c:v>
                </c:pt>
                <c:pt idx="1">
                  <c:v>2070.029507664784</c:v>
                </c:pt>
                <c:pt idx="2">
                  <c:v>2081.4850811995611</c:v>
                </c:pt>
                <c:pt idx="3">
                  <c:v>2052.0387035575409</c:v>
                </c:pt>
                <c:pt idx="4">
                  <c:v>2038.3822279271155</c:v>
                </c:pt>
                <c:pt idx="5">
                  <c:v>2019.2737356483792</c:v>
                </c:pt>
                <c:pt idx="6">
                  <c:v>1996.637481171633</c:v>
                </c:pt>
                <c:pt idx="7">
                  <c:v>1971.4781506999286</c:v>
                </c:pt>
                <c:pt idx="8">
                  <c:v>1960.0927052139298</c:v>
                </c:pt>
                <c:pt idx="9">
                  <c:v>1949.744288307488</c:v>
                </c:pt>
              </c:numCache>
            </c:numRef>
          </c:val>
          <c:smooth val="0"/>
          <c:extLst>
            <c:ext xmlns:c16="http://schemas.microsoft.com/office/drawing/2014/chart" uri="{C3380CC4-5D6E-409C-BE32-E72D297353CC}">
              <c16:uniqueId val="{00000001-DBEF-4F85-B4FC-CB1F16B8F5C0}"/>
            </c:ext>
          </c:extLst>
        </c:ser>
        <c:dLbls>
          <c:showLegendKey val="0"/>
          <c:showVal val="0"/>
          <c:showCatName val="0"/>
          <c:showSerName val="0"/>
          <c:showPercent val="0"/>
          <c:showBubbleSize val="0"/>
        </c:dLbls>
        <c:marker val="1"/>
        <c:smooth val="0"/>
        <c:axId val="416043887"/>
        <c:axId val="416036687"/>
      </c:lineChart>
      <c:catAx>
        <c:axId val="41604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6687"/>
        <c:crosses val="autoZero"/>
        <c:auto val="1"/>
        <c:lblAlgn val="ctr"/>
        <c:lblOffset val="100"/>
        <c:noMultiLvlLbl val="0"/>
      </c:catAx>
      <c:valAx>
        <c:axId val="41603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4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Onions,fresh</a:t>
            </a:r>
            <a:r>
              <a:rPr lang="en-US" baseline="0"/>
              <a:t> Prices 2025- Actual vs 3-Month Rolling Average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Rolling_Average_Analysis!$K$1</c:f>
              <c:strCache>
                <c:ptCount val="1"/>
                <c:pt idx="0">
                  <c:v>Onions, fresh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Rolling_Average_Analysis!$K$2:$K$13</c:f>
              <c:numCache>
                <c:formatCode>General</c:formatCode>
                <c:ptCount val="12"/>
                <c:pt idx="0">
                  <c:v>1143.2870370277783</c:v>
                </c:pt>
                <c:pt idx="1">
                  <c:v>1139.4079294999999</c:v>
                </c:pt>
                <c:pt idx="2">
                  <c:v>1161.5079365497218</c:v>
                </c:pt>
                <c:pt idx="3">
                  <c:v>1199.1666666666667</c:v>
                </c:pt>
                <c:pt idx="4">
                  <c:v>1565.2757580535215</c:v>
                </c:pt>
                <c:pt idx="5">
                  <c:v>1637.4029591134886</c:v>
                </c:pt>
                <c:pt idx="6">
                  <c:v>1676.3352296007167</c:v>
                </c:pt>
                <c:pt idx="7">
                  <c:v>1259.361013218225</c:v>
                </c:pt>
                <c:pt idx="8">
                  <c:v>1315.9459361147265</c:v>
                </c:pt>
                <c:pt idx="9">
                  <c:v>1317.5886027813929</c:v>
                </c:pt>
                <c:pt idx="10">
                  <c:v>1241.7429714053198</c:v>
                </c:pt>
                <c:pt idx="11">
                  <c:v>1162.4132606842134</c:v>
                </c:pt>
              </c:numCache>
            </c:numRef>
          </c:val>
          <c:smooth val="0"/>
          <c:extLst>
            <c:ext xmlns:c16="http://schemas.microsoft.com/office/drawing/2014/chart" uri="{C3380CC4-5D6E-409C-BE32-E72D297353CC}">
              <c16:uniqueId val="{00000000-A975-42CD-9D8E-1C05F8313C19}"/>
            </c:ext>
          </c:extLst>
        </c:ser>
        <c:ser>
          <c:idx val="1"/>
          <c:order val="1"/>
          <c:tx>
            <c:strRef>
              <c:f>Rolling_Average_Analysis!$L$1</c:f>
              <c:strCache>
                <c:ptCount val="1"/>
                <c:pt idx="0">
                  <c:v>Onion,fresh_3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Rolling_Average_Analysis!$L$4:$L$12</c:f>
              <c:numCache>
                <c:formatCode>General</c:formatCode>
                <c:ptCount val="9"/>
                <c:pt idx="0">
                  <c:v>1148.0676343591665</c:v>
                </c:pt>
                <c:pt idx="1">
                  <c:v>1166.6941775721295</c:v>
                </c:pt>
                <c:pt idx="2">
                  <c:v>1308.6501204233034</c:v>
                </c:pt>
                <c:pt idx="3">
                  <c:v>1467.2817946112257</c:v>
                </c:pt>
                <c:pt idx="4">
                  <c:v>1626.3379822559091</c:v>
                </c:pt>
                <c:pt idx="5">
                  <c:v>1524.3664006441434</c:v>
                </c:pt>
                <c:pt idx="6">
                  <c:v>1417.2140596445561</c:v>
                </c:pt>
                <c:pt idx="7">
                  <c:v>1297.6318507047815</c:v>
                </c:pt>
                <c:pt idx="8">
                  <c:v>1291.7591701004797</c:v>
                </c:pt>
              </c:numCache>
            </c:numRef>
          </c:val>
          <c:smooth val="0"/>
          <c:extLst>
            <c:ext xmlns:c16="http://schemas.microsoft.com/office/drawing/2014/chart" uri="{C3380CC4-5D6E-409C-BE32-E72D297353CC}">
              <c16:uniqueId val="{00000001-A975-42CD-9D8E-1C05F8313C19}"/>
            </c:ext>
          </c:extLst>
        </c:ser>
        <c:dLbls>
          <c:showLegendKey val="0"/>
          <c:showVal val="0"/>
          <c:showCatName val="0"/>
          <c:showSerName val="0"/>
          <c:showPercent val="0"/>
          <c:showBubbleSize val="0"/>
        </c:dLbls>
        <c:marker val="1"/>
        <c:smooth val="0"/>
        <c:axId val="416046287"/>
        <c:axId val="416040047"/>
      </c:lineChart>
      <c:catAx>
        <c:axId val="41604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40047"/>
        <c:crosses val="autoZero"/>
        <c:auto val="1"/>
        <c:lblAlgn val="ctr"/>
        <c:lblOffset val="100"/>
        <c:noMultiLvlLbl val="0"/>
      </c:catAx>
      <c:valAx>
        <c:axId val="41604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4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Garri White Prices 2025-Actual vs 3-Month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Rolling_Average_Analysis!$H$1</c:f>
              <c:strCache>
                <c:ptCount val="1"/>
                <c:pt idx="0">
                  <c:v>Garri white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Rolling_Average_Analysis!$H$2:$H$13</c:f>
              <c:numCache>
                <c:formatCode>General</c:formatCode>
                <c:ptCount val="12"/>
                <c:pt idx="0">
                  <c:v>1016.5416065396824</c:v>
                </c:pt>
                <c:pt idx="1">
                  <c:v>1030.2171591488097</c:v>
                </c:pt>
                <c:pt idx="2">
                  <c:v>1131.7212057790341</c:v>
                </c:pt>
                <c:pt idx="3">
                  <c:v>1126.5610527330589</c:v>
                </c:pt>
                <c:pt idx="4">
                  <c:v>1135.0021172246425</c:v>
                </c:pt>
                <c:pt idx="5">
                  <c:v>1140.2181040956505</c:v>
                </c:pt>
                <c:pt idx="6">
                  <c:v>1114.3691646562568</c:v>
                </c:pt>
                <c:pt idx="7">
                  <c:v>930.81943809447785</c:v>
                </c:pt>
                <c:pt idx="8">
                  <c:v>910.33239368578199</c:v>
                </c:pt>
                <c:pt idx="9">
                  <c:v>911.14172701911536</c:v>
                </c:pt>
                <c:pt idx="10">
                  <c:v>818.65957310498163</c:v>
                </c:pt>
                <c:pt idx="11">
                  <c:v>808.33333333333337</c:v>
                </c:pt>
              </c:numCache>
            </c:numRef>
          </c:val>
          <c:smooth val="0"/>
          <c:extLst>
            <c:ext xmlns:c16="http://schemas.microsoft.com/office/drawing/2014/chart" uri="{C3380CC4-5D6E-409C-BE32-E72D297353CC}">
              <c16:uniqueId val="{00000000-83A5-42F8-BF2E-243FF53E6077}"/>
            </c:ext>
          </c:extLst>
        </c:ser>
        <c:ser>
          <c:idx val="1"/>
          <c:order val="1"/>
          <c:tx>
            <c:strRef>
              <c:f>Rolling_Average_Analysis!$I$1</c:f>
              <c:strCache>
                <c:ptCount val="1"/>
                <c:pt idx="0">
                  <c:v>Garri_White_3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Rolling_Average_Analysis!$I$4:$I$13</c:f>
              <c:numCache>
                <c:formatCode>General</c:formatCode>
                <c:ptCount val="10"/>
                <c:pt idx="0">
                  <c:v>1059.4933238225087</c:v>
                </c:pt>
                <c:pt idx="1">
                  <c:v>1096.1664725536341</c:v>
                </c:pt>
                <c:pt idx="2">
                  <c:v>1131.0947919122452</c:v>
                </c:pt>
                <c:pt idx="3">
                  <c:v>1133.9270913511173</c:v>
                </c:pt>
                <c:pt idx="4">
                  <c:v>1129.8631286588497</c:v>
                </c:pt>
                <c:pt idx="5">
                  <c:v>1061.8022356154618</c:v>
                </c:pt>
                <c:pt idx="6">
                  <c:v>985.17366547883887</c:v>
                </c:pt>
                <c:pt idx="7">
                  <c:v>917.43118626645844</c:v>
                </c:pt>
                <c:pt idx="8">
                  <c:v>880.044564603293</c:v>
                </c:pt>
                <c:pt idx="9">
                  <c:v>846.04487781914349</c:v>
                </c:pt>
              </c:numCache>
            </c:numRef>
          </c:val>
          <c:smooth val="0"/>
          <c:extLst>
            <c:ext xmlns:c16="http://schemas.microsoft.com/office/drawing/2014/chart" uri="{C3380CC4-5D6E-409C-BE32-E72D297353CC}">
              <c16:uniqueId val="{00000001-83A5-42F8-BF2E-243FF53E6077}"/>
            </c:ext>
          </c:extLst>
        </c:ser>
        <c:dLbls>
          <c:showLegendKey val="0"/>
          <c:showVal val="0"/>
          <c:showCatName val="0"/>
          <c:showSerName val="0"/>
          <c:showPercent val="0"/>
          <c:showBubbleSize val="0"/>
        </c:dLbls>
        <c:marker val="1"/>
        <c:smooth val="0"/>
        <c:axId val="416031407"/>
        <c:axId val="416031887"/>
      </c:lineChart>
      <c:catAx>
        <c:axId val="41603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1887"/>
        <c:crosses val="autoZero"/>
        <c:auto val="1"/>
        <c:lblAlgn val="ctr"/>
        <c:lblOffset val="100"/>
        <c:noMultiLvlLbl val="0"/>
      </c:catAx>
      <c:valAx>
        <c:axId val="41603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[P3_Nigeria_Food_Commodity_Price_Volatility.xlsx]Dashboard!PivotTable2</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Dashboard!$B$12:$B$13</c:f>
              <c:strCache>
                <c:ptCount val="1"/>
                <c:pt idx="0">
                  <c:v>January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Dashboard!$B$14:$B$19</c:f>
              <c:numCache>
                <c:formatCode>_-[$₦-469]\ * #,##0.00_-;\-[$₦-469]\ * #,##0.00_-;_-[$₦-469]\ * "-"??_-;_-@_-</c:formatCode>
                <c:ptCount val="6"/>
                <c:pt idx="0">
                  <c:v>250.83333333333334</c:v>
                </c:pt>
                <c:pt idx="1">
                  <c:v>2382.2157781249998</c:v>
                </c:pt>
                <c:pt idx="2">
                  <c:v>1977.2817460317463</c:v>
                </c:pt>
                <c:pt idx="3">
                  <c:v>1143.2870370277783</c:v>
                </c:pt>
                <c:pt idx="4">
                  <c:v>2080.8451451611113</c:v>
                </c:pt>
                <c:pt idx="5">
                  <c:v>1316.0256409861115</c:v>
                </c:pt>
              </c:numCache>
            </c:numRef>
          </c:val>
          <c:smooth val="0"/>
          <c:extLst>
            <c:ext xmlns:c16="http://schemas.microsoft.com/office/drawing/2014/chart" uri="{C3380CC4-5D6E-409C-BE32-E72D297353CC}">
              <c16:uniqueId val="{00000000-9C91-4E12-BBE0-2F465D5E2734}"/>
            </c:ext>
          </c:extLst>
        </c:ser>
        <c:ser>
          <c:idx val="1"/>
          <c:order val="1"/>
          <c:tx>
            <c:strRef>
              <c:f>Dashboard!$C$12:$C$13</c:f>
              <c:strCache>
                <c:ptCount val="1"/>
                <c:pt idx="0">
                  <c:v>February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Dashboard!$C$14:$C$19</c:f>
              <c:numCache>
                <c:formatCode>_-[$₦-469]\ * #,##0.00_-;\-[$₦-469]\ * #,##0.00_-;_-[$₦-469]\ * "-"??_-;_-@_-</c:formatCode>
                <c:ptCount val="6"/>
                <c:pt idx="0">
                  <c:v>257.5</c:v>
                </c:pt>
                <c:pt idx="1">
                  <c:v>2327.9352488564814</c:v>
                </c:pt>
                <c:pt idx="2">
                  <c:v>1997.453963424603</c:v>
                </c:pt>
                <c:pt idx="3">
                  <c:v>1139.4079294999999</c:v>
                </c:pt>
                <c:pt idx="4">
                  <c:v>2000.0973782777776</c:v>
                </c:pt>
                <c:pt idx="5">
                  <c:v>1351.2950938055551</c:v>
                </c:pt>
              </c:numCache>
            </c:numRef>
          </c:val>
          <c:smooth val="0"/>
          <c:extLst>
            <c:ext xmlns:c16="http://schemas.microsoft.com/office/drawing/2014/chart" uri="{C3380CC4-5D6E-409C-BE32-E72D297353CC}">
              <c16:uniqueId val="{0000000D-9C91-4E12-BBE0-2F465D5E2734}"/>
            </c:ext>
          </c:extLst>
        </c:ser>
        <c:ser>
          <c:idx val="2"/>
          <c:order val="2"/>
          <c:tx>
            <c:strRef>
              <c:f>Dashboard!$D$12:$D$13</c:f>
              <c:strCache>
                <c:ptCount val="1"/>
                <c:pt idx="0">
                  <c:v>March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Dashboard!$D$14:$D$19</c:f>
              <c:numCache>
                <c:formatCode>_-[$₦-469]\ * #,##0.00_-;\-[$₦-469]\ * #,##0.00_-;_-[$₦-469]\ * "-"??_-;_-@_-</c:formatCode>
                <c:ptCount val="6"/>
                <c:pt idx="0">
                  <c:v>268.66666666666669</c:v>
                </c:pt>
                <c:pt idx="1">
                  <c:v>2466.6377561411578</c:v>
                </c:pt>
                <c:pt idx="2">
                  <c:v>2040.671434825972</c:v>
                </c:pt>
                <c:pt idx="3">
                  <c:v>1161.5079365497218</c:v>
                </c:pt>
                <c:pt idx="4">
                  <c:v>2126.6578113832406</c:v>
                </c:pt>
                <c:pt idx="5">
                  <c:v>1387.69930072593</c:v>
                </c:pt>
              </c:numCache>
            </c:numRef>
          </c:val>
          <c:smooth val="0"/>
          <c:extLst>
            <c:ext xmlns:c16="http://schemas.microsoft.com/office/drawing/2014/chart" uri="{C3380CC4-5D6E-409C-BE32-E72D297353CC}">
              <c16:uniqueId val="{0000000E-9C91-4E12-BBE0-2F465D5E2734}"/>
            </c:ext>
          </c:extLst>
        </c:ser>
        <c:ser>
          <c:idx val="3"/>
          <c:order val="3"/>
          <c:tx>
            <c:strRef>
              <c:f>Dashboard!$E$12:$E$13</c:f>
              <c:strCache>
                <c:ptCount val="1"/>
                <c:pt idx="0">
                  <c:v>April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Dashboard!$E$14:$E$19</c:f>
              <c:numCache>
                <c:formatCode>_-[$₦-469]\ * #,##0.00_-;\-[$₦-469]\ * #,##0.00_-;_-[$₦-469]\ * "-"??_-;_-@_-</c:formatCode>
                <c:ptCount val="6"/>
                <c:pt idx="0">
                  <c:v>258.16666666666669</c:v>
                </c:pt>
                <c:pt idx="1">
                  <c:v>2336.6666666666665</c:v>
                </c:pt>
                <c:pt idx="2">
                  <c:v>2030</c:v>
                </c:pt>
                <c:pt idx="3">
                  <c:v>1199.1666666666667</c:v>
                </c:pt>
                <c:pt idx="4">
                  <c:v>2083.3333333333335</c:v>
                </c:pt>
                <c:pt idx="5">
                  <c:v>1395</c:v>
                </c:pt>
              </c:numCache>
            </c:numRef>
          </c:val>
          <c:smooth val="0"/>
          <c:extLst>
            <c:ext xmlns:c16="http://schemas.microsoft.com/office/drawing/2014/chart" uri="{C3380CC4-5D6E-409C-BE32-E72D297353CC}">
              <c16:uniqueId val="{0000000F-9C91-4E12-BBE0-2F465D5E2734}"/>
            </c:ext>
          </c:extLst>
        </c:ser>
        <c:ser>
          <c:idx val="4"/>
          <c:order val="4"/>
          <c:tx>
            <c:strRef>
              <c:f>Dashboard!$F$12:$F$13</c:f>
              <c:strCache>
                <c:ptCount val="1"/>
                <c:pt idx="0">
                  <c:v>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Dashboard!$F$14:$F$19</c:f>
              <c:numCache>
                <c:formatCode>_-[$₦-469]\ * #,##0.00_-;\-[$₦-469]\ * #,##0.00_-;_-[$₦-469]\ * "-"??_-;_-@_-</c:formatCode>
                <c:ptCount val="6"/>
                <c:pt idx="0">
                  <c:v>269.53956349206351</c:v>
                </c:pt>
                <c:pt idx="1">
                  <c:v>2275.6142204673711</c:v>
                </c:pt>
                <c:pt idx="2">
                  <c:v>1827.4887843403669</c:v>
                </c:pt>
                <c:pt idx="3">
                  <c:v>1565.2757580535215</c:v>
                </c:pt>
                <c:pt idx="4">
                  <c:v>2034.4640988821091</c:v>
                </c:pt>
                <c:pt idx="5">
                  <c:v>1578.7045342650524</c:v>
                </c:pt>
              </c:numCache>
            </c:numRef>
          </c:val>
          <c:smooth val="0"/>
          <c:extLst>
            <c:ext xmlns:c16="http://schemas.microsoft.com/office/drawing/2014/chart" uri="{C3380CC4-5D6E-409C-BE32-E72D297353CC}">
              <c16:uniqueId val="{00000010-9C91-4E12-BBE0-2F465D5E2734}"/>
            </c:ext>
          </c:extLst>
        </c:ser>
        <c:ser>
          <c:idx val="5"/>
          <c:order val="5"/>
          <c:tx>
            <c:strRef>
              <c:f>Dashboard!$G$12:$G$13</c:f>
              <c:strCache>
                <c:ptCount val="1"/>
                <c:pt idx="0">
                  <c:v>June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Dashboard!$G$14:$G$19</c:f>
              <c:numCache>
                <c:formatCode>_-[$₦-469]\ * #,##0.00_-;\-[$₦-469]\ * #,##0.00_-;_-[$₦-469]\ * "-"??_-;_-@_-</c:formatCode>
                <c:ptCount val="6"/>
                <c:pt idx="0">
                  <c:v>267.53311825396827</c:v>
                </c:pt>
                <c:pt idx="1">
                  <c:v>2215.29875892769</c:v>
                </c:pt>
                <c:pt idx="2">
                  <c:v>1841.3393360604139</c:v>
                </c:pt>
                <c:pt idx="3">
                  <c:v>1637.4029591134886</c:v>
                </c:pt>
                <c:pt idx="4">
                  <c:v>2038.318678457181</c:v>
                </c:pt>
                <c:pt idx="5">
                  <c:v>1654.3022569292091</c:v>
                </c:pt>
              </c:numCache>
            </c:numRef>
          </c:val>
          <c:smooth val="0"/>
          <c:extLst>
            <c:ext xmlns:c16="http://schemas.microsoft.com/office/drawing/2014/chart" uri="{C3380CC4-5D6E-409C-BE32-E72D297353CC}">
              <c16:uniqueId val="{00000011-9C91-4E12-BBE0-2F465D5E2734}"/>
            </c:ext>
          </c:extLst>
        </c:ser>
        <c:ser>
          <c:idx val="6"/>
          <c:order val="6"/>
          <c:tx>
            <c:strRef>
              <c:f>Dashboard!$H$12:$H$13</c:f>
              <c:strCache>
                <c:ptCount val="1"/>
                <c:pt idx="0">
                  <c:v>July</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Dashboard!$H$14:$H$19</c:f>
              <c:numCache>
                <c:formatCode>_-[$₦-469]\ * #,##0.00_-;\-[$₦-469]\ * #,##0.00_-;_-[$₦-469]\ * "-"??_-;_-@_-</c:formatCode>
                <c:ptCount val="6"/>
                <c:pt idx="0">
                  <c:v>263.83333333333331</c:v>
                </c:pt>
                <c:pt idx="1">
                  <c:v>2257.7852226934347</c:v>
                </c:pt>
                <c:pt idx="2">
                  <c:v>1849.1939202978347</c:v>
                </c:pt>
                <c:pt idx="3">
                  <c:v>1676.3352296007167</c:v>
                </c:pt>
                <c:pt idx="4">
                  <c:v>2042.3639064420565</c:v>
                </c:pt>
                <c:pt idx="5">
                  <c:v>1600.2680141309436</c:v>
                </c:pt>
              </c:numCache>
            </c:numRef>
          </c:val>
          <c:smooth val="0"/>
          <c:extLst>
            <c:ext xmlns:c16="http://schemas.microsoft.com/office/drawing/2014/chart" uri="{C3380CC4-5D6E-409C-BE32-E72D297353CC}">
              <c16:uniqueId val="{00000012-9C91-4E12-BBE0-2F465D5E2734}"/>
            </c:ext>
          </c:extLst>
        </c:ser>
        <c:ser>
          <c:idx val="7"/>
          <c:order val="7"/>
          <c:tx>
            <c:strRef>
              <c:f>Dashboard!$I$12:$I$13</c:f>
              <c:strCache>
                <c:ptCount val="1"/>
                <c:pt idx="0">
                  <c:v>August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Dashboard!$I$14:$I$19</c:f>
              <c:numCache>
                <c:formatCode>_-[$₦-469]\ * #,##0.00_-;\-[$₦-469]\ * #,##0.00_-;_-[$₦-469]\ * "-"??_-;_-@_-</c:formatCode>
                <c:ptCount val="6"/>
                <c:pt idx="0">
                  <c:v>248.71244345238097</c:v>
                </c:pt>
                <c:pt idx="1">
                  <c:v>2140.4615655150883</c:v>
                </c:pt>
                <c:pt idx="2">
                  <c:v>1727.5992362058162</c:v>
                </c:pt>
                <c:pt idx="3">
                  <c:v>1259.361013218225</c:v>
                </c:pt>
                <c:pt idx="4">
                  <c:v>1977.1386220459001</c:v>
                </c:pt>
                <c:pt idx="5">
                  <c:v>1355.6876077866029</c:v>
                </c:pt>
              </c:numCache>
            </c:numRef>
          </c:val>
          <c:smooth val="0"/>
          <c:extLst>
            <c:ext xmlns:c16="http://schemas.microsoft.com/office/drawing/2014/chart" uri="{C3380CC4-5D6E-409C-BE32-E72D297353CC}">
              <c16:uniqueId val="{00000013-9C91-4E12-BBE0-2F465D5E2734}"/>
            </c:ext>
          </c:extLst>
        </c:ser>
        <c:ser>
          <c:idx val="8"/>
          <c:order val="8"/>
          <c:tx>
            <c:strRef>
              <c:f>Dashboard!$J$12:$J$13</c:f>
              <c:strCache>
                <c:ptCount val="1"/>
                <c:pt idx="0">
                  <c:v>September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Dashboard!$J$14:$J$19</c:f>
              <c:numCache>
                <c:formatCode>_-[$₦-469]\ * #,##0.00_-;\-[$₦-469]\ * #,##0.00_-;_-[$₦-469]\ * "-"??_-;_-@_-</c:formatCode>
                <c:ptCount val="6"/>
                <c:pt idx="0">
                  <c:v>248.2160615079365</c:v>
                </c:pt>
                <c:pt idx="1">
                  <c:v>2082.516463621414</c:v>
                </c:pt>
                <c:pt idx="2">
                  <c:v>1701.0678521700329</c:v>
                </c:pt>
                <c:pt idx="3">
                  <c:v>1315.9459361147265</c:v>
                </c:pt>
                <c:pt idx="4">
                  <c:v>1970.4099150269424</c:v>
                </c:pt>
                <c:pt idx="5">
                  <c:v>1371.20040683093</c:v>
                </c:pt>
              </c:numCache>
            </c:numRef>
          </c:val>
          <c:smooth val="0"/>
          <c:extLst>
            <c:ext xmlns:c16="http://schemas.microsoft.com/office/drawing/2014/chart" uri="{C3380CC4-5D6E-409C-BE32-E72D297353CC}">
              <c16:uniqueId val="{00000014-9C91-4E12-BBE0-2F465D5E2734}"/>
            </c:ext>
          </c:extLst>
        </c:ser>
        <c:ser>
          <c:idx val="9"/>
          <c:order val="9"/>
          <c:tx>
            <c:strRef>
              <c:f>Dashboard!$K$12:$K$13</c:f>
              <c:strCache>
                <c:ptCount val="1"/>
                <c:pt idx="0">
                  <c:v>October</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Dashboard!$K$14:$K$19</c:f>
              <c:numCache>
                <c:formatCode>_-[$₦-469]\ * #,##0.00_-;\-[$₦-469]\ * #,##0.00_-;_-[$₦-469]\ * "-"??_-;_-@_-</c:formatCode>
                <c:ptCount val="6"/>
                <c:pt idx="0">
                  <c:v>247.77539484126979</c:v>
                </c:pt>
                <c:pt idx="1">
                  <c:v>2081.3257969547467</c:v>
                </c:pt>
                <c:pt idx="2">
                  <c:v>1699.7105188367004</c:v>
                </c:pt>
                <c:pt idx="3">
                  <c:v>1317.5886027813929</c:v>
                </c:pt>
                <c:pt idx="4">
                  <c:v>1966.8859150269434</c:v>
                </c:pt>
                <c:pt idx="5">
                  <c:v>1372.3430734975962</c:v>
                </c:pt>
              </c:numCache>
            </c:numRef>
          </c:val>
          <c:smooth val="0"/>
          <c:extLst>
            <c:ext xmlns:c16="http://schemas.microsoft.com/office/drawing/2014/chart" uri="{C3380CC4-5D6E-409C-BE32-E72D297353CC}">
              <c16:uniqueId val="{00000015-9C91-4E12-BBE0-2F465D5E2734}"/>
            </c:ext>
          </c:extLst>
        </c:ser>
        <c:ser>
          <c:idx val="10"/>
          <c:order val="10"/>
          <c:tx>
            <c:strRef>
              <c:f>Dashboard!$L$12:$L$13</c:f>
              <c:strCache>
                <c:ptCount val="1"/>
                <c:pt idx="0">
                  <c:v>November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Dashboard!$L$14:$L$19</c:f>
              <c:numCache>
                <c:formatCode>_-[$₦-469]\ * #,##0.00_-;\-[$₦-469]\ * #,##0.00_-;_-[$₦-469]\ * "-"??_-;_-@_-</c:formatCode>
                <c:ptCount val="6"/>
                <c:pt idx="0">
                  <c:v>242.51328107756851</c:v>
                </c:pt>
                <c:pt idx="1">
                  <c:v>1730.8237707413964</c:v>
                </c:pt>
                <c:pt idx="2">
                  <c:v>1521.5791008095766</c:v>
                </c:pt>
                <c:pt idx="3">
                  <c:v>1241.7429714053198</c:v>
                </c:pt>
                <c:pt idx="4">
                  <c:v>1942.9822855879038</c:v>
                </c:pt>
                <c:pt idx="5">
                  <c:v>1309.1023644724501</c:v>
                </c:pt>
              </c:numCache>
            </c:numRef>
          </c:val>
          <c:smooth val="0"/>
          <c:extLst>
            <c:ext xmlns:c16="http://schemas.microsoft.com/office/drawing/2014/chart" uri="{C3380CC4-5D6E-409C-BE32-E72D297353CC}">
              <c16:uniqueId val="{00000016-9C91-4E12-BBE0-2F465D5E2734}"/>
            </c:ext>
          </c:extLst>
        </c:ser>
        <c:ser>
          <c:idx val="11"/>
          <c:order val="11"/>
          <c:tx>
            <c:strRef>
              <c:f>Dashboard!$M$12:$M$13</c:f>
              <c:strCache>
                <c:ptCount val="1"/>
                <c:pt idx="0">
                  <c:v>December</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Dashboard!$A$14:$A$19</c:f>
              <c:strCache>
                <c:ptCount val="6"/>
                <c:pt idx="0">
                  <c:v>Agric hen eggs, </c:v>
                </c:pt>
                <c:pt idx="1">
                  <c:v>Beans Brown</c:v>
                </c:pt>
                <c:pt idx="2">
                  <c:v>Beans white</c:v>
                </c:pt>
                <c:pt idx="3">
                  <c:v>Onions, fresh </c:v>
                </c:pt>
                <c:pt idx="4">
                  <c:v>Rice Local, short-Grained</c:v>
                </c:pt>
                <c:pt idx="5">
                  <c:v>Tomatoes, fresh </c:v>
                </c:pt>
              </c:strCache>
            </c:strRef>
          </c:cat>
          <c:val>
            <c:numRef>
              <c:f>Dashboard!$M$14:$M$19</c:f>
              <c:numCache>
                <c:formatCode>_-[$₦-469]\ * #,##0.00_-;\-[$₦-469]\ * #,##0.00_-;_-[$₦-469]\ * "-"??_-;_-@_-</c:formatCode>
                <c:ptCount val="6"/>
                <c:pt idx="0">
                  <c:v>241.73817897308334</c:v>
                </c:pt>
                <c:pt idx="1">
                  <c:v>1697.503033545695</c:v>
                </c:pt>
                <c:pt idx="2">
                  <c:v>1509.66659440691</c:v>
                </c:pt>
                <c:pt idx="3">
                  <c:v>1162.4132606842134</c:v>
                </c:pt>
                <c:pt idx="4">
                  <c:v>1939.3646643076165</c:v>
                </c:pt>
                <c:pt idx="5">
                  <c:v>1188.7462368461333</c:v>
                </c:pt>
              </c:numCache>
            </c:numRef>
          </c:val>
          <c:smooth val="0"/>
          <c:extLst>
            <c:ext xmlns:c16="http://schemas.microsoft.com/office/drawing/2014/chart" uri="{C3380CC4-5D6E-409C-BE32-E72D297353CC}">
              <c16:uniqueId val="{00000017-9C91-4E12-BBE0-2F465D5E2734}"/>
            </c:ext>
          </c:extLst>
        </c:ser>
        <c:dLbls>
          <c:showLegendKey val="0"/>
          <c:showVal val="0"/>
          <c:showCatName val="0"/>
          <c:showSerName val="0"/>
          <c:showPercent val="0"/>
          <c:showBubbleSize val="0"/>
        </c:dLbls>
        <c:marker val="1"/>
        <c:smooth val="0"/>
        <c:axId val="1809544784"/>
        <c:axId val="1809541904"/>
      </c:lineChart>
      <c:catAx>
        <c:axId val="180954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41904"/>
        <c:crosses val="autoZero"/>
        <c:auto val="1"/>
        <c:lblAlgn val="ctr"/>
        <c:lblOffset val="100"/>
        <c:noMultiLvlLbl val="0"/>
      </c:catAx>
      <c:valAx>
        <c:axId val="1809541904"/>
        <c:scaling>
          <c:orientation val="minMax"/>
        </c:scaling>
        <c:delete val="0"/>
        <c:axPos val="l"/>
        <c:majorGridlines>
          <c:spPr>
            <a:ln w="9525" cap="flat" cmpd="sng" algn="ctr">
              <a:solidFill>
                <a:schemeClr val="tx1">
                  <a:lumMod val="15000"/>
                  <a:lumOff val="85000"/>
                </a:schemeClr>
              </a:solidFill>
              <a:round/>
            </a:ln>
            <a:effectLst/>
          </c:spPr>
        </c:majorGridlines>
        <c:numFmt formatCode="_-[$₦-469]\ * #,##0.00_-;\-[$₦-469]\ * #,##0.00_-;_-[$₦-469]\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4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Egg Prices 2025-Actual vs 3-Month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Rolling_Average_Analysis!$B$1</c:f>
              <c:strCache>
                <c:ptCount val="1"/>
                <c:pt idx="0">
                  <c:v>Agric hen eggs,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Rolling_Average_Analysis!$B$2:$B$13</c:f>
              <c:numCache>
                <c:formatCode>General</c:formatCode>
                <c:ptCount val="12"/>
                <c:pt idx="0">
                  <c:v>250.83333333333334</c:v>
                </c:pt>
                <c:pt idx="1">
                  <c:v>257.5</c:v>
                </c:pt>
                <c:pt idx="2">
                  <c:v>268.66666666666669</c:v>
                </c:pt>
                <c:pt idx="3">
                  <c:v>258.16666666666669</c:v>
                </c:pt>
                <c:pt idx="4">
                  <c:v>269.53956349206351</c:v>
                </c:pt>
                <c:pt idx="5">
                  <c:v>267.53311825396827</c:v>
                </c:pt>
                <c:pt idx="6">
                  <c:v>263.83333333333331</c:v>
                </c:pt>
                <c:pt idx="7">
                  <c:v>248.71244345238097</c:v>
                </c:pt>
                <c:pt idx="8">
                  <c:v>248.2160615079365</c:v>
                </c:pt>
                <c:pt idx="9">
                  <c:v>247.77539484126979</c:v>
                </c:pt>
                <c:pt idx="10">
                  <c:v>242.51328107756851</c:v>
                </c:pt>
                <c:pt idx="11">
                  <c:v>241.73817897308334</c:v>
                </c:pt>
              </c:numCache>
            </c:numRef>
          </c:val>
          <c:smooth val="0"/>
          <c:extLst>
            <c:ext xmlns:c16="http://schemas.microsoft.com/office/drawing/2014/chart" uri="{C3380CC4-5D6E-409C-BE32-E72D297353CC}">
              <c16:uniqueId val="{00000000-F55C-47C8-BBCE-B80D4E8BF938}"/>
            </c:ext>
          </c:extLst>
        </c:ser>
        <c:ser>
          <c:idx val="1"/>
          <c:order val="1"/>
          <c:tx>
            <c:strRef>
              <c:f>Rolling_Average_Analysis!$C$1</c:f>
              <c:strCache>
                <c:ptCount val="1"/>
                <c:pt idx="0">
                  <c:v>Eggs_3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Rolling_Average_Analysis!$C$4:$C$13</c:f>
              <c:numCache>
                <c:formatCode>General</c:formatCode>
                <c:ptCount val="10"/>
                <c:pt idx="0">
                  <c:v>259</c:v>
                </c:pt>
                <c:pt idx="1">
                  <c:v>261.44444444444451</c:v>
                </c:pt>
                <c:pt idx="2">
                  <c:v>265.45763227513231</c:v>
                </c:pt>
                <c:pt idx="3">
                  <c:v>265.07978280423282</c:v>
                </c:pt>
                <c:pt idx="4">
                  <c:v>266.96867169312168</c:v>
                </c:pt>
                <c:pt idx="5">
                  <c:v>260.02629834656085</c:v>
                </c:pt>
                <c:pt idx="6">
                  <c:v>253.5872794312169</c:v>
                </c:pt>
                <c:pt idx="7">
                  <c:v>248.23463326719573</c:v>
                </c:pt>
                <c:pt idx="8">
                  <c:v>246.16824580892492</c:v>
                </c:pt>
                <c:pt idx="9">
                  <c:v>244.00895163064055</c:v>
                </c:pt>
              </c:numCache>
            </c:numRef>
          </c:val>
          <c:smooth val="0"/>
          <c:extLst>
            <c:ext xmlns:c16="http://schemas.microsoft.com/office/drawing/2014/chart" uri="{C3380CC4-5D6E-409C-BE32-E72D297353CC}">
              <c16:uniqueId val="{00000001-F55C-47C8-BBCE-B80D4E8BF938}"/>
            </c:ext>
          </c:extLst>
        </c:ser>
        <c:dLbls>
          <c:showLegendKey val="0"/>
          <c:showVal val="0"/>
          <c:showCatName val="0"/>
          <c:showSerName val="0"/>
          <c:showPercent val="0"/>
          <c:showBubbleSize val="0"/>
        </c:dLbls>
        <c:marker val="1"/>
        <c:smooth val="0"/>
        <c:axId val="1198710767"/>
        <c:axId val="1198711247"/>
      </c:lineChart>
      <c:catAx>
        <c:axId val="119871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11247"/>
        <c:crosses val="autoZero"/>
        <c:auto val="1"/>
        <c:lblAlgn val="ctr"/>
        <c:lblOffset val="100"/>
        <c:noMultiLvlLbl val="0"/>
      </c:catAx>
      <c:valAx>
        <c:axId val="1198711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1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Garri White Prices 2025-Actual vs 3-Month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Rolling_Average_Analysis!$H$1</c:f>
              <c:strCache>
                <c:ptCount val="1"/>
                <c:pt idx="0">
                  <c:v>Garri white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Rolling_Average_Analysis!$H$2:$H$13</c:f>
              <c:numCache>
                <c:formatCode>General</c:formatCode>
                <c:ptCount val="12"/>
                <c:pt idx="0">
                  <c:v>1016.5416065396824</c:v>
                </c:pt>
                <c:pt idx="1">
                  <c:v>1030.2171591488097</c:v>
                </c:pt>
                <c:pt idx="2">
                  <c:v>1131.7212057790341</c:v>
                </c:pt>
                <c:pt idx="3">
                  <c:v>1126.5610527330589</c:v>
                </c:pt>
                <c:pt idx="4">
                  <c:v>1135.0021172246425</c:v>
                </c:pt>
                <c:pt idx="5">
                  <c:v>1140.2181040956505</c:v>
                </c:pt>
                <c:pt idx="6">
                  <c:v>1114.3691646562568</c:v>
                </c:pt>
                <c:pt idx="7">
                  <c:v>930.81943809447785</c:v>
                </c:pt>
                <c:pt idx="8">
                  <c:v>910.33239368578199</c:v>
                </c:pt>
                <c:pt idx="9">
                  <c:v>911.14172701911536</c:v>
                </c:pt>
                <c:pt idx="10">
                  <c:v>818.65957310498163</c:v>
                </c:pt>
                <c:pt idx="11">
                  <c:v>808.33333333333337</c:v>
                </c:pt>
              </c:numCache>
            </c:numRef>
          </c:val>
          <c:smooth val="0"/>
          <c:extLst>
            <c:ext xmlns:c16="http://schemas.microsoft.com/office/drawing/2014/chart" uri="{C3380CC4-5D6E-409C-BE32-E72D297353CC}">
              <c16:uniqueId val="{00000000-1AFA-4221-AF71-E58D68A12A20}"/>
            </c:ext>
          </c:extLst>
        </c:ser>
        <c:ser>
          <c:idx val="1"/>
          <c:order val="1"/>
          <c:tx>
            <c:strRef>
              <c:f>Rolling_Average_Analysis!$I$1</c:f>
              <c:strCache>
                <c:ptCount val="1"/>
                <c:pt idx="0">
                  <c:v>Garri_White_3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Rolling_Average_Analysis!$I$4:$I$13</c:f>
              <c:numCache>
                <c:formatCode>General</c:formatCode>
                <c:ptCount val="10"/>
                <c:pt idx="0">
                  <c:v>1059.4933238225087</c:v>
                </c:pt>
                <c:pt idx="1">
                  <c:v>1096.1664725536341</c:v>
                </c:pt>
                <c:pt idx="2">
                  <c:v>1131.0947919122452</c:v>
                </c:pt>
                <c:pt idx="3">
                  <c:v>1133.9270913511173</c:v>
                </c:pt>
                <c:pt idx="4">
                  <c:v>1129.8631286588497</c:v>
                </c:pt>
                <c:pt idx="5">
                  <c:v>1061.8022356154618</c:v>
                </c:pt>
                <c:pt idx="6">
                  <c:v>985.17366547883887</c:v>
                </c:pt>
                <c:pt idx="7">
                  <c:v>917.43118626645844</c:v>
                </c:pt>
                <c:pt idx="8">
                  <c:v>880.044564603293</c:v>
                </c:pt>
                <c:pt idx="9">
                  <c:v>846.04487781914349</c:v>
                </c:pt>
              </c:numCache>
            </c:numRef>
          </c:val>
          <c:smooth val="0"/>
          <c:extLst>
            <c:ext xmlns:c16="http://schemas.microsoft.com/office/drawing/2014/chart" uri="{C3380CC4-5D6E-409C-BE32-E72D297353CC}">
              <c16:uniqueId val="{00000001-1AFA-4221-AF71-E58D68A12A20}"/>
            </c:ext>
          </c:extLst>
        </c:ser>
        <c:dLbls>
          <c:showLegendKey val="0"/>
          <c:showVal val="0"/>
          <c:showCatName val="0"/>
          <c:showSerName val="0"/>
          <c:showPercent val="0"/>
          <c:showBubbleSize val="0"/>
        </c:dLbls>
        <c:marker val="1"/>
        <c:smooth val="0"/>
        <c:axId val="416031407"/>
        <c:axId val="416031887"/>
      </c:lineChart>
      <c:catAx>
        <c:axId val="41603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1887"/>
        <c:crosses val="autoZero"/>
        <c:auto val="1"/>
        <c:lblAlgn val="ctr"/>
        <c:lblOffset val="100"/>
        <c:noMultiLvlLbl val="0"/>
      </c:catAx>
      <c:valAx>
        <c:axId val="41603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Rice Local,short-Grained Prices 2025-Actual vs 3-Month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Rolling_Average_Analysis!$N$1</c:f>
              <c:strCache>
                <c:ptCount val="1"/>
                <c:pt idx="0">
                  <c:v>Rice Local, short-Grained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Rolling_Average_Analysis!$N$2:$N$13</c:f>
              <c:numCache>
                <c:formatCode>General</c:formatCode>
                <c:ptCount val="12"/>
                <c:pt idx="0">
                  <c:v>2080.8451451611113</c:v>
                </c:pt>
                <c:pt idx="1">
                  <c:v>2000.0973782777776</c:v>
                </c:pt>
                <c:pt idx="2">
                  <c:v>2126.6578113832406</c:v>
                </c:pt>
                <c:pt idx="3">
                  <c:v>2083.3333333333335</c:v>
                </c:pt>
                <c:pt idx="4">
                  <c:v>2034.4640988821091</c:v>
                </c:pt>
                <c:pt idx="5">
                  <c:v>2038.318678457181</c:v>
                </c:pt>
                <c:pt idx="6">
                  <c:v>2042.3639064420565</c:v>
                </c:pt>
                <c:pt idx="7">
                  <c:v>1977.1386220459001</c:v>
                </c:pt>
                <c:pt idx="8">
                  <c:v>1970.4099150269424</c:v>
                </c:pt>
                <c:pt idx="9">
                  <c:v>1966.8859150269434</c:v>
                </c:pt>
                <c:pt idx="10">
                  <c:v>1942.9822855879038</c:v>
                </c:pt>
                <c:pt idx="11">
                  <c:v>1939.3646643076165</c:v>
                </c:pt>
              </c:numCache>
            </c:numRef>
          </c:val>
          <c:smooth val="0"/>
          <c:extLst>
            <c:ext xmlns:c16="http://schemas.microsoft.com/office/drawing/2014/chart" uri="{C3380CC4-5D6E-409C-BE32-E72D297353CC}">
              <c16:uniqueId val="{00000000-E7A6-42A9-9809-DF8279F14F6E}"/>
            </c:ext>
          </c:extLst>
        </c:ser>
        <c:ser>
          <c:idx val="1"/>
          <c:order val="1"/>
          <c:tx>
            <c:strRef>
              <c:f>Rolling_Average_Analysis!$O$1</c:f>
              <c:strCache>
                <c:ptCount val="1"/>
                <c:pt idx="0">
                  <c:v>Rice Local, short-Grained_3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Rolling_Average_Analysis!$O$4:$O$13</c:f>
              <c:numCache>
                <c:formatCode>General</c:formatCode>
                <c:ptCount val="10"/>
                <c:pt idx="0">
                  <c:v>2069.2001116073766</c:v>
                </c:pt>
                <c:pt idx="1">
                  <c:v>2070.029507664784</c:v>
                </c:pt>
                <c:pt idx="2">
                  <c:v>2081.4850811995611</c:v>
                </c:pt>
                <c:pt idx="3">
                  <c:v>2052.0387035575409</c:v>
                </c:pt>
                <c:pt idx="4">
                  <c:v>2038.3822279271155</c:v>
                </c:pt>
                <c:pt idx="5">
                  <c:v>2019.2737356483792</c:v>
                </c:pt>
                <c:pt idx="6">
                  <c:v>1996.637481171633</c:v>
                </c:pt>
                <c:pt idx="7">
                  <c:v>1971.4781506999286</c:v>
                </c:pt>
                <c:pt idx="8">
                  <c:v>1960.0927052139298</c:v>
                </c:pt>
                <c:pt idx="9">
                  <c:v>1949.744288307488</c:v>
                </c:pt>
              </c:numCache>
            </c:numRef>
          </c:val>
          <c:smooth val="0"/>
          <c:extLst>
            <c:ext xmlns:c16="http://schemas.microsoft.com/office/drawing/2014/chart" uri="{C3380CC4-5D6E-409C-BE32-E72D297353CC}">
              <c16:uniqueId val="{00000001-E7A6-42A9-9809-DF8279F14F6E}"/>
            </c:ext>
          </c:extLst>
        </c:ser>
        <c:dLbls>
          <c:showLegendKey val="0"/>
          <c:showVal val="0"/>
          <c:showCatName val="0"/>
          <c:showSerName val="0"/>
          <c:showPercent val="0"/>
          <c:showBubbleSize val="0"/>
        </c:dLbls>
        <c:marker val="1"/>
        <c:smooth val="0"/>
        <c:axId val="416043887"/>
        <c:axId val="416036687"/>
      </c:lineChart>
      <c:catAx>
        <c:axId val="41604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6687"/>
        <c:crosses val="autoZero"/>
        <c:auto val="1"/>
        <c:lblAlgn val="ctr"/>
        <c:lblOffset val="100"/>
        <c:noMultiLvlLbl val="0"/>
      </c:catAx>
      <c:valAx>
        <c:axId val="416036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4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Onions,fresh</a:t>
            </a:r>
            <a:r>
              <a:rPr lang="en-US" baseline="0"/>
              <a:t> Prices 2025- Actual vs 3-Month Rolling Average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Rolling_Average_Analysis!$K$1</c:f>
              <c:strCache>
                <c:ptCount val="1"/>
                <c:pt idx="0">
                  <c:v>Onions, fresh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Rolling_Average_Analysis!$K$2:$K$13</c:f>
              <c:numCache>
                <c:formatCode>General</c:formatCode>
                <c:ptCount val="12"/>
                <c:pt idx="0">
                  <c:v>1143.2870370277783</c:v>
                </c:pt>
                <c:pt idx="1">
                  <c:v>1139.4079294999999</c:v>
                </c:pt>
                <c:pt idx="2">
                  <c:v>1161.5079365497218</c:v>
                </c:pt>
                <c:pt idx="3">
                  <c:v>1199.1666666666667</c:v>
                </c:pt>
                <c:pt idx="4">
                  <c:v>1565.2757580535215</c:v>
                </c:pt>
                <c:pt idx="5">
                  <c:v>1637.4029591134886</c:v>
                </c:pt>
                <c:pt idx="6">
                  <c:v>1676.3352296007167</c:v>
                </c:pt>
                <c:pt idx="7">
                  <c:v>1259.361013218225</c:v>
                </c:pt>
                <c:pt idx="8">
                  <c:v>1315.9459361147265</c:v>
                </c:pt>
                <c:pt idx="9">
                  <c:v>1317.5886027813929</c:v>
                </c:pt>
                <c:pt idx="10">
                  <c:v>1241.7429714053198</c:v>
                </c:pt>
                <c:pt idx="11">
                  <c:v>1162.4132606842134</c:v>
                </c:pt>
              </c:numCache>
            </c:numRef>
          </c:val>
          <c:smooth val="0"/>
          <c:extLst>
            <c:ext xmlns:c16="http://schemas.microsoft.com/office/drawing/2014/chart" uri="{C3380CC4-5D6E-409C-BE32-E72D297353CC}">
              <c16:uniqueId val="{00000000-A345-4EFD-851A-8B1E4696C122}"/>
            </c:ext>
          </c:extLst>
        </c:ser>
        <c:ser>
          <c:idx val="1"/>
          <c:order val="1"/>
          <c:tx>
            <c:strRef>
              <c:f>Rolling_Average_Analysis!$L$1</c:f>
              <c:strCache>
                <c:ptCount val="1"/>
                <c:pt idx="0">
                  <c:v>Onion,fresh_3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Rolling_Average_Analysis!$L$4:$L$12</c:f>
              <c:numCache>
                <c:formatCode>General</c:formatCode>
                <c:ptCount val="9"/>
                <c:pt idx="0">
                  <c:v>1148.0676343591665</c:v>
                </c:pt>
                <c:pt idx="1">
                  <c:v>1166.6941775721295</c:v>
                </c:pt>
                <c:pt idx="2">
                  <c:v>1308.6501204233034</c:v>
                </c:pt>
                <c:pt idx="3">
                  <c:v>1467.2817946112257</c:v>
                </c:pt>
                <c:pt idx="4">
                  <c:v>1626.3379822559091</c:v>
                </c:pt>
                <c:pt idx="5">
                  <c:v>1524.3664006441434</c:v>
                </c:pt>
                <c:pt idx="6">
                  <c:v>1417.2140596445561</c:v>
                </c:pt>
                <c:pt idx="7">
                  <c:v>1297.6318507047815</c:v>
                </c:pt>
                <c:pt idx="8">
                  <c:v>1291.7591701004797</c:v>
                </c:pt>
              </c:numCache>
            </c:numRef>
          </c:val>
          <c:smooth val="0"/>
          <c:extLst>
            <c:ext xmlns:c16="http://schemas.microsoft.com/office/drawing/2014/chart" uri="{C3380CC4-5D6E-409C-BE32-E72D297353CC}">
              <c16:uniqueId val="{00000001-A345-4EFD-851A-8B1E4696C122}"/>
            </c:ext>
          </c:extLst>
        </c:ser>
        <c:dLbls>
          <c:showLegendKey val="0"/>
          <c:showVal val="0"/>
          <c:showCatName val="0"/>
          <c:showSerName val="0"/>
          <c:showPercent val="0"/>
          <c:showBubbleSize val="0"/>
        </c:dLbls>
        <c:marker val="1"/>
        <c:smooth val="0"/>
        <c:axId val="416046287"/>
        <c:axId val="416040047"/>
      </c:lineChart>
      <c:catAx>
        <c:axId val="416046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40047"/>
        <c:crosses val="autoZero"/>
        <c:auto val="1"/>
        <c:lblAlgn val="ctr"/>
        <c:lblOffset val="100"/>
        <c:noMultiLvlLbl val="0"/>
      </c:catAx>
      <c:valAx>
        <c:axId val="41604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4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Brown Beans Prices 2025- Actual vs 3-Month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Rolling_Average_Analysis!$E$1</c:f>
              <c:strCache>
                <c:ptCount val="1"/>
                <c:pt idx="0">
                  <c:v>Beans Brown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Rolling_Average_Analysis!$E$2:$E$13</c:f>
              <c:numCache>
                <c:formatCode>General</c:formatCode>
                <c:ptCount val="12"/>
                <c:pt idx="0">
                  <c:v>2382.2157781249998</c:v>
                </c:pt>
                <c:pt idx="1">
                  <c:v>2327.9352488564814</c:v>
                </c:pt>
                <c:pt idx="2">
                  <c:v>2466.6377561411578</c:v>
                </c:pt>
                <c:pt idx="3">
                  <c:v>2336.6666666666665</c:v>
                </c:pt>
                <c:pt idx="4">
                  <c:v>2275.6142204673711</c:v>
                </c:pt>
                <c:pt idx="5">
                  <c:v>2215.29875892769</c:v>
                </c:pt>
                <c:pt idx="6">
                  <c:v>2257.7852226934347</c:v>
                </c:pt>
                <c:pt idx="7">
                  <c:v>2140.4615655150883</c:v>
                </c:pt>
                <c:pt idx="8">
                  <c:v>2082.516463621414</c:v>
                </c:pt>
                <c:pt idx="9">
                  <c:v>2081.3257969547467</c:v>
                </c:pt>
                <c:pt idx="10">
                  <c:v>1730.8237707413964</c:v>
                </c:pt>
                <c:pt idx="11">
                  <c:v>1697.503033545695</c:v>
                </c:pt>
              </c:numCache>
            </c:numRef>
          </c:val>
          <c:smooth val="0"/>
          <c:extLst>
            <c:ext xmlns:c16="http://schemas.microsoft.com/office/drawing/2014/chart" uri="{C3380CC4-5D6E-409C-BE32-E72D297353CC}">
              <c16:uniqueId val="{00000000-A5B3-41F1-8984-8FDEA2ABE2D1}"/>
            </c:ext>
          </c:extLst>
        </c:ser>
        <c:ser>
          <c:idx val="1"/>
          <c:order val="1"/>
          <c:tx>
            <c:strRef>
              <c:f>Rolling_Average_Analysis!$F$1</c:f>
              <c:strCache>
                <c:ptCount val="1"/>
                <c:pt idx="0">
                  <c:v>Beans_Brown_3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Rolling_Average_Analysis!$F$4:$F$13</c:f>
              <c:numCache>
                <c:formatCode>General</c:formatCode>
                <c:ptCount val="10"/>
                <c:pt idx="0">
                  <c:v>2392.2629277075462</c:v>
                </c:pt>
                <c:pt idx="1">
                  <c:v>2377.0798905547686</c:v>
                </c:pt>
                <c:pt idx="2">
                  <c:v>2359.6395477583987</c:v>
                </c:pt>
                <c:pt idx="3">
                  <c:v>2275.8598820205757</c:v>
                </c:pt>
                <c:pt idx="4">
                  <c:v>2249.5660673628322</c:v>
                </c:pt>
                <c:pt idx="5">
                  <c:v>2204.5151823787378</c:v>
                </c:pt>
                <c:pt idx="6">
                  <c:v>2160.2544172766457</c:v>
                </c:pt>
                <c:pt idx="7">
                  <c:v>2101.4346086970831</c:v>
                </c:pt>
                <c:pt idx="8">
                  <c:v>1964.8886771058524</c:v>
                </c:pt>
                <c:pt idx="9">
                  <c:v>1836.5508670806128</c:v>
                </c:pt>
              </c:numCache>
            </c:numRef>
          </c:val>
          <c:smooth val="0"/>
          <c:extLst>
            <c:ext xmlns:c16="http://schemas.microsoft.com/office/drawing/2014/chart" uri="{C3380CC4-5D6E-409C-BE32-E72D297353CC}">
              <c16:uniqueId val="{00000001-A5B3-41F1-8984-8FDEA2ABE2D1}"/>
            </c:ext>
          </c:extLst>
        </c:ser>
        <c:dLbls>
          <c:showLegendKey val="0"/>
          <c:showVal val="0"/>
          <c:showCatName val="0"/>
          <c:showSerName val="0"/>
          <c:showPercent val="0"/>
          <c:showBubbleSize val="0"/>
        </c:dLbls>
        <c:marker val="1"/>
        <c:smooth val="0"/>
        <c:axId val="1198672367"/>
        <c:axId val="1198669487"/>
      </c:lineChart>
      <c:catAx>
        <c:axId val="1198672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69487"/>
        <c:crosses val="autoZero"/>
        <c:auto val="1"/>
        <c:lblAlgn val="ctr"/>
        <c:lblOffset val="100"/>
        <c:noMultiLvlLbl val="0"/>
      </c:catAx>
      <c:valAx>
        <c:axId val="1198669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7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Tomatoes,fresh-Prices 2025-Actual vs 3-Month Rolling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Rolling_Average_Analysis!$Q$1</c:f>
              <c:strCache>
                <c:ptCount val="1"/>
                <c:pt idx="0">
                  <c:v>Tomatoes, fresh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Rolling_Average_Analysis!$A$1:$A$13</c:f>
              <c:strCache>
                <c:ptCount val="13"/>
                <c:pt idx="0">
                  <c:v>Month</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strCache>
            </c:strRef>
          </c:cat>
          <c:val>
            <c:numRef>
              <c:f>Rolling_Average_Analysis!$Q$2:$Q$13</c:f>
              <c:numCache>
                <c:formatCode>General</c:formatCode>
                <c:ptCount val="12"/>
                <c:pt idx="0">
                  <c:v>1316.0256409861115</c:v>
                </c:pt>
                <c:pt idx="1">
                  <c:v>1351.2950938055551</c:v>
                </c:pt>
                <c:pt idx="2">
                  <c:v>1387.69930072593</c:v>
                </c:pt>
                <c:pt idx="3">
                  <c:v>1395</c:v>
                </c:pt>
                <c:pt idx="4">
                  <c:v>1578.7045342650524</c:v>
                </c:pt>
                <c:pt idx="5">
                  <c:v>1654.3022569292091</c:v>
                </c:pt>
                <c:pt idx="6">
                  <c:v>1600.2680141309436</c:v>
                </c:pt>
                <c:pt idx="7">
                  <c:v>1355.6876077866029</c:v>
                </c:pt>
                <c:pt idx="8">
                  <c:v>1371.20040683093</c:v>
                </c:pt>
                <c:pt idx="9">
                  <c:v>1372.3430734975962</c:v>
                </c:pt>
                <c:pt idx="10">
                  <c:v>1309.1023644724501</c:v>
                </c:pt>
                <c:pt idx="11">
                  <c:v>1188.7462368461333</c:v>
                </c:pt>
              </c:numCache>
            </c:numRef>
          </c:val>
          <c:smooth val="0"/>
          <c:extLst>
            <c:ext xmlns:c16="http://schemas.microsoft.com/office/drawing/2014/chart" uri="{C3380CC4-5D6E-409C-BE32-E72D297353CC}">
              <c16:uniqueId val="{00000000-41F0-4F25-9C75-E18EC210EBCC}"/>
            </c:ext>
          </c:extLst>
        </c:ser>
        <c:ser>
          <c:idx val="1"/>
          <c:order val="1"/>
          <c:tx>
            <c:strRef>
              <c:f>Rolling_Average_Analysis!$R$1</c:f>
              <c:strCache>
                <c:ptCount val="1"/>
                <c:pt idx="0">
                  <c:v>Tomatoes, fresh_3 Month_Avg</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strRef>
              <c:f>Rolling_Average_Analysis!$A$1:$A$13</c:f>
              <c:strCache>
                <c:ptCount val="13"/>
                <c:pt idx="0">
                  <c:v>Month</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strCache>
            </c:strRef>
          </c:cat>
          <c:val>
            <c:numRef>
              <c:f>Rolling_Average_Analysis!$R$4:$R$13</c:f>
              <c:numCache>
                <c:formatCode>General</c:formatCode>
                <c:ptCount val="10"/>
                <c:pt idx="0">
                  <c:v>1351.6733451725322</c:v>
                </c:pt>
                <c:pt idx="1">
                  <c:v>1377.9981315104951</c:v>
                </c:pt>
                <c:pt idx="2">
                  <c:v>1453.8012783303275</c:v>
                </c:pt>
                <c:pt idx="3">
                  <c:v>1542.6689303980872</c:v>
                </c:pt>
                <c:pt idx="4">
                  <c:v>1611.0916017750685</c:v>
                </c:pt>
                <c:pt idx="5">
                  <c:v>1536.7526262822519</c:v>
                </c:pt>
                <c:pt idx="6">
                  <c:v>1442.3853429161588</c:v>
                </c:pt>
                <c:pt idx="7">
                  <c:v>1366.4103627050429</c:v>
                </c:pt>
                <c:pt idx="8">
                  <c:v>1350.8819482669921</c:v>
                </c:pt>
                <c:pt idx="9">
                  <c:v>1290.0638916053933</c:v>
                </c:pt>
              </c:numCache>
            </c:numRef>
          </c:val>
          <c:smooth val="0"/>
          <c:extLst>
            <c:ext xmlns:c16="http://schemas.microsoft.com/office/drawing/2014/chart" uri="{C3380CC4-5D6E-409C-BE32-E72D297353CC}">
              <c16:uniqueId val="{00000001-41F0-4F25-9C75-E18EC210EBCC}"/>
            </c:ext>
          </c:extLst>
        </c:ser>
        <c:dLbls>
          <c:showLegendKey val="0"/>
          <c:showVal val="0"/>
          <c:showCatName val="0"/>
          <c:showSerName val="0"/>
          <c:showPercent val="0"/>
          <c:showBubbleSize val="0"/>
        </c:dLbls>
        <c:marker val="1"/>
        <c:smooth val="0"/>
        <c:axId val="1388556511"/>
        <c:axId val="1388567071"/>
      </c:lineChart>
      <c:catAx>
        <c:axId val="1388556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67071"/>
        <c:crosses val="autoZero"/>
        <c:auto val="1"/>
        <c:lblAlgn val="ctr"/>
        <c:lblOffset val="100"/>
        <c:noMultiLvlLbl val="0"/>
      </c:catAx>
      <c:valAx>
        <c:axId val="1388567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5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1371600</xdr:colOff>
      <xdr:row>6</xdr:row>
      <xdr:rowOff>6350</xdr:rowOff>
    </xdr:from>
    <xdr:to>
      <xdr:col>1</xdr:col>
      <xdr:colOff>647700</xdr:colOff>
      <xdr:row>20</xdr:row>
      <xdr:rowOff>47622</xdr:rowOff>
    </xdr:to>
    <mc:AlternateContent xmlns:mc="http://schemas.openxmlformats.org/markup-compatibility/2006" xmlns:a14="http://schemas.microsoft.com/office/drawing/2010/main">
      <mc:Choice Requires="a14">
        <xdr:graphicFrame macro="">
          <xdr:nvGraphicFramePr>
            <xdr:cNvPr id="2" name="Item Label">
              <a:extLst>
                <a:ext uri="{FF2B5EF4-FFF2-40B4-BE49-F238E27FC236}">
                  <a16:creationId xmlns:a16="http://schemas.microsoft.com/office/drawing/2014/main" id="{F96EC6B5-7069-A152-D229-7D7153E19054}"/>
                </a:ext>
              </a:extLst>
            </xdr:cNvPr>
            <xdr:cNvGraphicFramePr/>
          </xdr:nvGraphicFramePr>
          <xdr:xfrm>
            <a:off x="0" y="0"/>
            <a:ext cx="0" cy="0"/>
          </xdr:xfrm>
          <a:graphic>
            <a:graphicData uri="http://schemas.microsoft.com/office/drawing/2010/slicer">
              <sle:slicer xmlns:sle="http://schemas.microsoft.com/office/drawing/2010/slicer" name="Item Label"/>
            </a:graphicData>
          </a:graphic>
        </xdr:graphicFrame>
      </mc:Choice>
      <mc:Fallback xmlns="">
        <xdr:sp macro="" textlink="">
          <xdr:nvSpPr>
            <xdr:cNvPr id="0" name=""/>
            <xdr:cNvSpPr>
              <a:spLocks noTextEdit="1"/>
            </xdr:cNvSpPr>
          </xdr:nvSpPr>
          <xdr:spPr>
            <a:xfrm>
              <a:off x="1371600" y="11112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1663700</xdr:colOff>
      <xdr:row>7</xdr:row>
      <xdr:rowOff>44450</xdr:rowOff>
    </xdr:from>
    <xdr:to>
      <xdr:col>1</xdr:col>
      <xdr:colOff>939800</xdr:colOff>
      <xdr:row>21</xdr:row>
      <xdr:rowOff>85722</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C4D7F569-EFA8-0560-FB95-8ACB0799368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63700" y="1333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320675</xdr:colOff>
      <xdr:row>10</xdr:row>
      <xdr:rowOff>9525</xdr:rowOff>
    </xdr:from>
    <xdr:to>
      <xdr:col>5</xdr:col>
      <xdr:colOff>434975</xdr:colOff>
      <xdr:row>24</xdr:row>
      <xdr:rowOff>174625</xdr:rowOff>
    </xdr:to>
    <xdr:graphicFrame macro="">
      <xdr:nvGraphicFramePr>
        <xdr:cNvPr id="6" name="Chart 5">
          <a:extLst>
            <a:ext uri="{FF2B5EF4-FFF2-40B4-BE49-F238E27FC236}">
              <a16:creationId xmlns:a16="http://schemas.microsoft.com/office/drawing/2014/main" id="{F36FA43C-3D14-34A9-6E5E-9DC6C7D9C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835025</xdr:colOff>
      <xdr:row>13</xdr:row>
      <xdr:rowOff>53975</xdr:rowOff>
    </xdr:from>
    <xdr:to>
      <xdr:col>8</xdr:col>
      <xdr:colOff>1444625</xdr:colOff>
      <xdr:row>28</xdr:row>
      <xdr:rowOff>34925</xdr:rowOff>
    </xdr:to>
    <xdr:graphicFrame macro="">
      <xdr:nvGraphicFramePr>
        <xdr:cNvPr id="7" name="Chart 6">
          <a:extLst>
            <a:ext uri="{FF2B5EF4-FFF2-40B4-BE49-F238E27FC236}">
              <a16:creationId xmlns:a16="http://schemas.microsoft.com/office/drawing/2014/main" id="{5EDD7EC9-A93F-0A3B-8A06-BF5571876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244475</xdr:colOff>
      <xdr:row>11</xdr:row>
      <xdr:rowOff>130175</xdr:rowOff>
    </xdr:from>
    <xdr:to>
      <xdr:col>18</xdr:col>
      <xdr:colOff>428625</xdr:colOff>
      <xdr:row>26</xdr:row>
      <xdr:rowOff>111125</xdr:rowOff>
    </xdr:to>
    <xdr:graphicFrame macro="">
      <xdr:nvGraphicFramePr>
        <xdr:cNvPr id="2" name="Chart 1">
          <a:extLst>
            <a:ext uri="{FF2B5EF4-FFF2-40B4-BE49-F238E27FC236}">
              <a16:creationId xmlns:a16="http://schemas.microsoft.com/office/drawing/2014/main" id="{52E1A77E-244E-0A4F-B90F-5AF7CC251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269875</xdr:colOff>
      <xdr:row>12</xdr:row>
      <xdr:rowOff>174625</xdr:rowOff>
    </xdr:from>
    <xdr:to>
      <xdr:col>8</xdr:col>
      <xdr:colOff>879475</xdr:colOff>
      <xdr:row>27</xdr:row>
      <xdr:rowOff>155575</xdr:rowOff>
    </xdr:to>
    <xdr:graphicFrame macro="">
      <xdr:nvGraphicFramePr>
        <xdr:cNvPr id="3" name="Chart 2">
          <a:extLst>
            <a:ext uri="{FF2B5EF4-FFF2-40B4-BE49-F238E27FC236}">
              <a16:creationId xmlns:a16="http://schemas.microsoft.com/office/drawing/2014/main" id="{227EA592-A0B1-95C0-5DC4-AA922C4F5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231775</xdr:colOff>
      <xdr:row>10</xdr:row>
      <xdr:rowOff>180975</xdr:rowOff>
    </xdr:from>
    <xdr:to>
      <xdr:col>13</xdr:col>
      <xdr:colOff>384175</xdr:colOff>
      <xdr:row>25</xdr:row>
      <xdr:rowOff>161925</xdr:rowOff>
    </xdr:to>
    <xdr:graphicFrame macro="">
      <xdr:nvGraphicFramePr>
        <xdr:cNvPr id="4" name="Chart 3">
          <a:extLst>
            <a:ext uri="{FF2B5EF4-FFF2-40B4-BE49-F238E27FC236}">
              <a16:creationId xmlns:a16="http://schemas.microsoft.com/office/drawing/2014/main" id="{C4FF51C5-5649-0C11-14CF-A86830F9D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123825</xdr:colOff>
      <xdr:row>13</xdr:row>
      <xdr:rowOff>168275</xdr:rowOff>
    </xdr:from>
    <xdr:to>
      <xdr:col>5</xdr:col>
      <xdr:colOff>847725</xdr:colOff>
      <xdr:row>28</xdr:row>
      <xdr:rowOff>149225</xdr:rowOff>
    </xdr:to>
    <xdr:graphicFrame macro="">
      <xdr:nvGraphicFramePr>
        <xdr:cNvPr id="5" name="Chart 4">
          <a:extLst>
            <a:ext uri="{FF2B5EF4-FFF2-40B4-BE49-F238E27FC236}">
              <a16:creationId xmlns:a16="http://schemas.microsoft.com/office/drawing/2014/main" id="{C9C46F29-D658-B59A-1E48-D79820667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63244</xdr:colOff>
      <xdr:row>3</xdr:row>
      <xdr:rowOff>4746</xdr:rowOff>
    </xdr:from>
    <xdr:to>
      <xdr:col>6</xdr:col>
      <xdr:colOff>741022</xdr:colOff>
      <xdr:row>10</xdr:row>
      <xdr:rowOff>178056</xdr:rowOff>
    </xdr:to>
    <mc:AlternateContent xmlns:mc="http://schemas.openxmlformats.org/markup-compatibility/2006" xmlns:a14="http://schemas.microsoft.com/office/drawing/2010/main">
      <mc:Choice Requires="a14">
        <xdr:graphicFrame macro="">
          <xdr:nvGraphicFramePr>
            <xdr:cNvPr id="2" name="Item Label 1">
              <a:extLst>
                <a:ext uri="{FF2B5EF4-FFF2-40B4-BE49-F238E27FC236}">
                  <a16:creationId xmlns:a16="http://schemas.microsoft.com/office/drawing/2014/main" id="{613B8B3C-D985-4A21-9193-8E067B71519C}"/>
                </a:ext>
              </a:extLst>
            </xdr:cNvPr>
            <xdr:cNvGraphicFramePr/>
          </xdr:nvGraphicFramePr>
          <xdr:xfrm>
            <a:off x="0" y="0"/>
            <a:ext cx="0" cy="0"/>
          </xdr:xfrm>
          <a:graphic>
            <a:graphicData uri="http://schemas.microsoft.com/office/drawing/2010/slicer">
              <sle:slicer xmlns:sle="http://schemas.microsoft.com/office/drawing/2010/slicer" name="Item Label 1"/>
            </a:graphicData>
          </a:graphic>
        </xdr:graphicFrame>
      </mc:Choice>
      <mc:Fallback xmlns="">
        <xdr:sp macro="" textlink="">
          <xdr:nvSpPr>
            <xdr:cNvPr id="0" name=""/>
            <xdr:cNvSpPr>
              <a:spLocks noTextEdit="1"/>
            </xdr:cNvSpPr>
          </xdr:nvSpPr>
          <xdr:spPr>
            <a:xfrm>
              <a:off x="4254244" y="853641"/>
              <a:ext cx="2175041" cy="1483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2</xdr:row>
      <xdr:rowOff>177800</xdr:rowOff>
    </xdr:from>
    <xdr:to>
      <xdr:col>1</xdr:col>
      <xdr:colOff>729316</xdr:colOff>
      <xdr:row>10</xdr:row>
      <xdr:rowOff>146050</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E85040CF-DB93-40B1-A288-7B08D5C3794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9850" y="839537"/>
              <a:ext cx="2156729" cy="1465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194567</xdr:colOff>
      <xdr:row>19</xdr:row>
      <xdr:rowOff>17813</xdr:rowOff>
    </xdr:from>
    <xdr:to>
      <xdr:col>6</xdr:col>
      <xdr:colOff>621053</xdr:colOff>
      <xdr:row>33</xdr:row>
      <xdr:rowOff>184061</xdr:rowOff>
    </xdr:to>
    <xdr:graphicFrame macro="">
      <xdr:nvGraphicFramePr>
        <xdr:cNvPr id="5" name="Chart 4">
          <a:extLst>
            <a:ext uri="{FF2B5EF4-FFF2-40B4-BE49-F238E27FC236}">
              <a16:creationId xmlns:a16="http://schemas.microsoft.com/office/drawing/2014/main" id="{5EE1884E-A4A2-A9E5-958E-B93113E3F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304800</xdr:colOff>
      <xdr:row>23</xdr:row>
      <xdr:rowOff>165100</xdr:rowOff>
    </xdr:to>
    <xdr:graphicFrame macro="">
      <xdr:nvGraphicFramePr>
        <xdr:cNvPr id="2" name="Chart 1">
          <a:extLst>
            <a:ext uri="{FF2B5EF4-FFF2-40B4-BE49-F238E27FC236}">
              <a16:creationId xmlns:a16="http://schemas.microsoft.com/office/drawing/2014/main" id="{3C59D3EA-4EEA-483B-BA5F-698E1AFE7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0</xdr:rowOff>
    </xdr:from>
    <xdr:to>
      <xdr:col>15</xdr:col>
      <xdr:colOff>304800</xdr:colOff>
      <xdr:row>23</xdr:row>
      <xdr:rowOff>165100</xdr:rowOff>
    </xdr:to>
    <xdr:graphicFrame macro="">
      <xdr:nvGraphicFramePr>
        <xdr:cNvPr id="3" name="Chart 2">
          <a:extLst>
            <a:ext uri="{FF2B5EF4-FFF2-40B4-BE49-F238E27FC236}">
              <a16:creationId xmlns:a16="http://schemas.microsoft.com/office/drawing/2014/main" id="{A081767F-8B60-4085-B17F-30C337D5F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0</xdr:rowOff>
    </xdr:from>
    <xdr:to>
      <xdr:col>7</xdr:col>
      <xdr:colOff>304800</xdr:colOff>
      <xdr:row>38</xdr:row>
      <xdr:rowOff>165100</xdr:rowOff>
    </xdr:to>
    <xdr:graphicFrame macro="">
      <xdr:nvGraphicFramePr>
        <xdr:cNvPr id="4" name="Chart 3">
          <a:extLst>
            <a:ext uri="{FF2B5EF4-FFF2-40B4-BE49-F238E27FC236}">
              <a16:creationId xmlns:a16="http://schemas.microsoft.com/office/drawing/2014/main" id="{FEAA39F2-8E85-4271-B2B2-D377A11AB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24</xdr:row>
      <xdr:rowOff>0</xdr:rowOff>
    </xdr:from>
    <xdr:to>
      <xdr:col>15</xdr:col>
      <xdr:colOff>304800</xdr:colOff>
      <xdr:row>38</xdr:row>
      <xdr:rowOff>165100</xdr:rowOff>
    </xdr:to>
    <xdr:graphicFrame macro="">
      <xdr:nvGraphicFramePr>
        <xdr:cNvPr id="5" name="Chart 4">
          <a:extLst>
            <a:ext uri="{FF2B5EF4-FFF2-40B4-BE49-F238E27FC236}">
              <a16:creationId xmlns:a16="http://schemas.microsoft.com/office/drawing/2014/main" id="{72366DAF-E3B8-43E4-9D81-E72F746C0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9</xdr:row>
      <xdr:rowOff>0</xdr:rowOff>
    </xdr:from>
    <xdr:to>
      <xdr:col>23</xdr:col>
      <xdr:colOff>304800</xdr:colOff>
      <xdr:row>23</xdr:row>
      <xdr:rowOff>165100</xdr:rowOff>
    </xdr:to>
    <xdr:graphicFrame macro="">
      <xdr:nvGraphicFramePr>
        <xdr:cNvPr id="6" name="Chart 5">
          <a:extLst>
            <a:ext uri="{FF2B5EF4-FFF2-40B4-BE49-F238E27FC236}">
              <a16:creationId xmlns:a16="http://schemas.microsoft.com/office/drawing/2014/main" id="{478B405E-03D2-46CC-823C-CEA414170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24</xdr:row>
      <xdr:rowOff>0</xdr:rowOff>
    </xdr:from>
    <xdr:to>
      <xdr:col>23</xdr:col>
      <xdr:colOff>304800</xdr:colOff>
      <xdr:row>38</xdr:row>
      <xdr:rowOff>165100</xdr:rowOff>
    </xdr:to>
    <xdr:graphicFrame macro="">
      <xdr:nvGraphicFramePr>
        <xdr:cNvPr id="7" name="Chart 6">
          <a:extLst>
            <a:ext uri="{FF2B5EF4-FFF2-40B4-BE49-F238E27FC236}">
              <a16:creationId xmlns:a16="http://schemas.microsoft.com/office/drawing/2014/main" id="{D72EF9F2-98E6-4057-82FA-37A0F19BF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196850</xdr:colOff>
      <xdr:row>1</xdr:row>
      <xdr:rowOff>139700</xdr:rowOff>
    </xdr:from>
    <xdr:to>
      <xdr:col>9</xdr:col>
      <xdr:colOff>76200</xdr:colOff>
      <xdr:row>7</xdr:row>
      <xdr:rowOff>63500</xdr:rowOff>
    </xdr:to>
    <xdr:sp macro="" textlink="">
      <xdr:nvSpPr>
        <xdr:cNvPr id="8" name="TextBox 7">
          <a:extLst>
            <a:ext uri="{FF2B5EF4-FFF2-40B4-BE49-F238E27FC236}">
              <a16:creationId xmlns:a16="http://schemas.microsoft.com/office/drawing/2014/main" id="{CBA815C8-5E43-6447-CDF1-1934156D7DA7}"/>
            </a:ext>
          </a:extLst>
        </xdr:cNvPr>
        <xdr:cNvSpPr txBox="1"/>
      </xdr:nvSpPr>
      <xdr:spPr>
        <a:xfrm>
          <a:off x="4559300" y="374650"/>
          <a:ext cx="2927350" cy="1047750"/>
        </a:xfrm>
        <a:prstGeom prst="rect">
          <a:avLst/>
        </a:prstGeom>
        <a:solidFill>
          <a:srgbClr val="FFFF00"/>
        </a:solidFill>
        <a:ln w="2540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March 2025</a:t>
          </a:r>
          <a:r>
            <a:rPr lang="en-US" sz="1100"/>
            <a:t>: All 6 commodities spiked simultaneously due to</a:t>
          </a:r>
          <a:r>
            <a:rPr lang="en-US" sz="1100" baseline="0"/>
            <a:t> systemic food price shock. Sustained pressure April-June on Garri, Onions, rice and tomatoes. Onions flagged most volatile: 6 spike months across the year.</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3.954208564814" createdVersion="8" refreshedVersion="8" minRefreshableVersion="3" recordCount="522" xr:uid="{4EED0940-2BF2-4DEA-A0C1-710F84C0ABD0}">
  <cacheSource type="worksheet">
    <worksheetSource name="Raw_Data"/>
  </cacheSource>
  <cacheFields count="9">
    <cacheField name="Source.Name" numFmtId="0">
      <sharedItems/>
    </cacheField>
    <cacheField name="Item Label" numFmtId="0">
      <sharedItems containsBlank="1" count="43">
        <s v="Agric hen eggs, "/>
        <s v="Agric hen eggs, (a Crate of 30 pieces)"/>
        <s v="Beans Brown"/>
        <s v="Beans white"/>
        <s v="Beef Boneless"/>
        <s v="Bread (sliced), 450g"/>
        <s v="Bread (unsliced), 450g"/>
        <s v="Carrots, fresh"/>
        <s v="Cat fresh fish"/>
        <s v="Chicken feet"/>
        <s v="Chicken meat (Frozen)"/>
        <s v="Chicken Wings"/>
        <s v="Cray fish small white"/>
        <s v="Dried fish, Bonga"/>
        <s v="Garri white"/>
        <s v="Garri Yellow"/>
        <s v="Ginger, fresh"/>
        <s v="Goat Meat Bone in"/>
        <s v="Groundnut oil, 75cl"/>
        <s v="Groundnuts, roasted,75cl bottle"/>
        <s v="Irish Potatoe"/>
        <s v="Local Rice (Broken)"/>
        <s v="Mackerel, Frozen"/>
        <s v="Maize (Corn) Grains (White) sold loose"/>
        <s v="Onions, fresh "/>
        <s v="Palm oil, 75cl"/>
        <s v="Plantain (ripe)"/>
        <s v="Plantain (unripe)"/>
        <s v="Rice Local, short-Grained"/>
        <s v="Rice Long-Grained (Imported)"/>
        <s v="Semovita, Prepacked (1kg)"/>
        <s v="Smoked fish"/>
        <s v="Sweet potatoes "/>
        <s v="Tilapia fresh fish (Epiya)"/>
        <s v="Tin Milk-Evaporated, Peak Milk, 150g"/>
        <s v="Tin Milk-Evaporated, Three Crown Milk, 160g"/>
        <s v="Titus, frozen"/>
        <s v="Tomatoes, fresh "/>
        <s v="Vegetable Oil, 75cl"/>
        <s v="Watermelon whole, medium size fresh"/>
        <s v="Wheat Flour, Prepacked (2kg)"/>
        <s v="Yam Tuber"/>
        <m/>
      </sharedItems>
    </cacheField>
    <cacheField name="North Central" numFmtId="0">
      <sharedItems containsString="0" containsBlank="1" containsNumber="1" minValue="237.39283071428574" maxValue="8781.0073780221701" count="504">
        <n v="253.28571428571428"/>
        <n v="5836"/>
        <n v="2602.8571428571427"/>
        <n v="2037.4285714285713"/>
        <n v="6336.4428571428571"/>
        <n v="1738.7271428571428"/>
        <n v="1646.0128571428572"/>
        <n v="1586.5714285714287"/>
        <n v="6832.3799999999992"/>
        <n v="3975.9700000000003"/>
        <n v="6228.5714285714284"/>
        <n v="5077.4428571428571"/>
        <n v="7297.4285714285716"/>
        <n v="7726.5914285714289"/>
        <n v="1386.1428571428571"/>
        <n v="1411.5028571428572"/>
        <n v="4600.8571428571431"/>
        <n v="5751.6185714285721"/>
        <n v="2940.0914285714284"/>
        <n v="2365.7028571428568"/>
        <n v="1882.5714285714287"/>
        <n v="2857.1428571428573"/>
        <n v="7597.8771428571426"/>
        <n v="1058.2042857142858"/>
        <n v="1294.7142857142858"/>
        <n v="2340"/>
        <n v="2238.5185714285717"/>
        <n v="2447.3957142857143"/>
        <n v="2135.7142857142858"/>
        <n v="2671.4285714285716"/>
        <n v="2243.5914285714284"/>
        <n v="6248.1028571428569"/>
        <n v="798.48857142857139"/>
        <n v="6570.47"/>
        <n v="1035.45"/>
        <n v="831.71428571428567"/>
        <n v="7016.011428571428"/>
        <n v="1135.8428571428572"/>
        <n v="3144.6628571428569"/>
        <n v="1900.292857142857"/>
        <n v="3968.502857142857"/>
        <n v="2006.22"/>
        <m/>
        <n v="255.65914391380184"/>
        <n v="5858.5166470462427"/>
        <n v="1655.1869705561228"/>
        <n v="1590.9049053901585"/>
        <n v="6397.5000311785825"/>
        <n v="1756.2408032246458"/>
        <n v="1665.2398823066487"/>
        <n v="1604.2462965852244"/>
        <n v="6880.1672675558657"/>
        <n v="4192.3640740489227"/>
        <n v="6329.0711553619694"/>
        <n v="5146.5936975245795"/>
        <n v="8765.3054686690866"/>
        <n v="7763.6132128525287"/>
        <n v="703.34519255979842"/>
        <n v="786.62706263573716"/>
        <n v="5331.3850662707355"/>
        <n v="5774.4056350178707"/>
        <n v="2964.6404549615731"/>
        <n v="2388.2105938438899"/>
        <n v="1390.7180988743771"/>
        <n v="2308.1880309227245"/>
        <n v="7637.668452299552"/>
        <n v="756.50737636246743"/>
        <n v="1079.29724941364"/>
        <n v="2360.8278796758705"/>
        <n v="2260.5769241197386"/>
        <n v="2467.8949655795554"/>
        <n v="2033.0016584200441"/>
        <n v="2557.1910419238743"/>
        <n v="2255.8570665559341"/>
        <n v="6298.6951897672852"/>
        <n v="718.31732135242908"/>
        <n v="6614.1397611703551"/>
        <n v="1046.4558444443037"/>
        <n v="850.06720586198753"/>
        <n v="7055.559546048632"/>
        <n v="1038.3860971962292"/>
        <n v="3168.1043294512601"/>
        <n v="1913.9034398668357"/>
        <n v="3994.2132316925527"/>
        <n v="1689.3036725798127"/>
        <n v="241.86444322216923"/>
        <n v="5810.7412032182083"/>
        <n v="1186.2760785330486"/>
        <n v="1195.8482112063855"/>
        <n v="6378.7433419224326"/>
        <n v="1725.9965767835679"/>
        <n v="1631.4817554822512"/>
        <n v="1650.6174941118054"/>
        <n v="6766.4211696629418"/>
        <n v="4399.5871517414953"/>
        <n v="6307.5338599517263"/>
        <n v="5268.6792465796725"/>
        <n v="8768.3387835182202"/>
        <n v="7798.5757632495015"/>
        <n v="656.68645441398769"/>
        <n v="798.24969173090665"/>
        <n v="5314.8292308369946"/>
        <n v="5720.8475512326859"/>
        <n v="3016.7100144785654"/>
        <n v="2383.7357254050721"/>
        <n v="1636.2067335979978"/>
        <n v="2281.4419751622704"/>
        <n v="7634.8173800125205"/>
        <n v="696.14614393892123"/>
        <n v="897.90643811463212"/>
        <n v="2446.9826294434793"/>
        <n v="2293.9666255683123"/>
        <n v="2500.1606007706514"/>
        <n v="2014.7201609654601"/>
        <n v="2502.4446886403725"/>
        <n v="2259.4732240463895"/>
        <n v="6330.4913377382609"/>
        <n v="684.28176947109955"/>
        <n v="6640.78666494139"/>
        <n v="1051.2708608735832"/>
        <n v="862.45236616189698"/>
        <n v="7088.3488112146733"/>
        <n v="961.68905608193779"/>
        <n v="3146.0344211954985"/>
        <n v="1901.4969739499259"/>
        <n v="3979.8057945436199"/>
        <n v="1766.8620706273621"/>
        <n v="244.880797"/>
        <n v="5543.4336507142852"/>
        <n v="2688.1100677729596"/>
        <n v="2079.5895365714287"/>
        <n v="5772.7750543571437"/>
        <n v="1705.8704010714284"/>
        <n v="1552.5907695000001"/>
        <n v="1552.8571428571429"/>
        <n v="6438.964363666666"/>
        <n v="3753.7476195410004"/>
        <n v="5957.1428571428569"/>
        <n v="4579.0111125714284"/>
        <n v="7180.8221428571424"/>
        <n v="7290.6457625714293"/>
        <n v="1231.3142182142858"/>
        <n v="1297.9494119999999"/>
        <n v="4271.2454212261919"/>
        <n v="5166.0996619285715"/>
        <n v="2689.6634541428571"/>
        <n v="2285.2823266428572"/>
        <n v="1645.8066776663331"/>
        <n v="3079.5676076073573"/>
        <n v="7346.7422737142851"/>
        <n v="987.33966838095228"/>
        <n v="1228.1000327857143"/>
        <n v="2160.0713040714286"/>
        <n v="2070.5971857142858"/>
        <n v="2384.3887058571427"/>
        <n v="2099.6620737999997"/>
        <n v="2667.5328203445001"/>
        <n v="2140.1471405714283"/>
        <n v="5743.3017689357139"/>
        <n v="713.06354785714291"/>
        <n v="5931.8140553928561"/>
        <n v="936.76040721428581"/>
        <n v="753.91162657142854"/>
        <n v="6629.0017087142851"/>
        <n v="1045.913229"/>
        <n v="2878.9491684285713"/>
        <n v="1802.5839807142856"/>
        <n v="3679.8002114096425"/>
        <n v="1934.6090555952378"/>
        <n v="237.39283071428574"/>
        <n v="5311.2876178571432"/>
        <n v="2580.8015296071426"/>
        <n v="2162.4802029404759"/>
        <n v="5800.1340017857146"/>
        <n v="1685.1633757142856"/>
        <n v="1493.3049564285716"/>
        <n v="1491.4285714285713"/>
        <n v="6282.9826249523812"/>
        <n v="3582.5236246428572"/>
        <n v="6071.7360012443241"/>
        <n v="4609.0393705498582"/>
        <n v="6954.076357142857"/>
        <n v="7392.071889357142"/>
        <n v="1212.7668316190479"/>
        <n v="1269.2062141857143"/>
        <n v="4050.6996922142862"/>
        <n v="5276.5291725714287"/>
        <n v="2601.1971339285715"/>
        <n v="2328.2901622898571"/>
        <n v="1714.857713641986"/>
        <n v="3005.1256028555713"/>
        <n v="7344.777166285714"/>
        <n v="1017.4909984047619"/>
        <n v="1210.5583224285713"/>
        <n v="2057.8403214285713"/>
        <n v="1961.8723898214287"/>
        <n v="2296.9955735714284"/>
        <n v="2079.8736384476192"/>
        <n v="2532.2107080714291"/>
        <n v="2118.1241110714286"/>
        <n v="5704.2512871500003"/>
        <n v="723.00397778571426"/>
        <n v="5851.9741879541425"/>
        <n v="899.83705528571431"/>
        <n v="768.7847549999999"/>
        <n v="6647.7869222142845"/>
        <n v="952.30473457142864"/>
        <n v="2731.4177263095198"/>
        <n v="1686.8699330714285"/>
        <n v="3541.1573698498569"/>
        <n v="1885.1125"/>
        <n v="255.85216486810845"/>
        <n v="5859.1897007548396"/>
        <n v="2597.6013659498726"/>
        <n v="2058.3466210067709"/>
        <n v="6392.7206141063662"/>
        <n v="1753.5816076658689"/>
        <n v="1662.6951063941283"/>
        <n v="1602.962288677413"/>
        <n v="6875.4000515277248"/>
        <n v="4189.5703362414224"/>
        <n v="6324.850928646867"/>
        <n v="5142.5593205982314"/>
        <n v="8759.6468807874971"/>
        <n v="7757.924849285565"/>
        <n v="1331.8767119568827"/>
        <n v="1423.9061301775835"/>
        <n v="5503.9659365065409"/>
        <n v="5769.9125381123831"/>
        <n v="2961.8202830645891"/>
        <n v="2385.9903513911013"/>
        <n v="1886.3087762201917"/>
        <n v="2874.1838639558168"/>
        <n v="7633.3664996204907"/>
        <n v="1061.4372040506425"/>
        <n v="1306.5912621988771"/>
        <n v="2358.4715768672099"/>
        <n v="2258.5761971970796"/>
        <n v="2465.5051570691762"/>
        <n v="2136.1305762850411"/>
        <n v="2701.4724971220176"/>
        <n v="2253.8288389490322"/>
        <n v="6293.7631616058425"/>
        <n v="843.46350466693207"/>
        <n v="6610.0979729381706"/>
        <n v="1044.8587797750151"/>
        <n v="848.78488635957206"/>
        <n v="7050.6142504895824"/>
        <n v="1156.120168775486"/>
        <n v="3164.6332715177546"/>
        <n v="1912.0277860843837"/>
        <n v="3991.0551964895617"/>
        <n v="2100.6599261091874"/>
        <n v="255.34223631478253"/>
        <n v="5855.1940335868412"/>
        <n v="2593.9637541506891"/>
        <n v="2058.8977891593963"/>
        <n v="6387.0440322445547"/>
        <n v="1749.7318302474755"/>
        <n v="1658.9336634767114"/>
        <n v="1599.5342712729193"/>
        <n v="6860.2647844502062"/>
        <n v="4177.2038533292352"/>
        <n v="6318.5474632417872"/>
        <n v="5140.2451600503873"/>
        <n v="8420.4124139663945"/>
        <n v="7750.7336173130379"/>
        <n v="1361.5968698342524"/>
        <n v="1422.9625096460866"/>
        <n v="5484.8506458621259"/>
        <n v="5764.804417565073"/>
        <n v="2955.8328200314413"/>
        <n v="2381.0407047628391"/>
        <n v="1882.619150650987"/>
        <n v="2868.0846671829522"/>
        <n v="7626.3445931608712"/>
        <n v="1059.038590173868"/>
        <n v="1305.0656866240577"/>
        <n v="2353.8388175577165"/>
        <n v="2254.0082025146708"/>
        <n v="2460.5505224738217"/>
        <n v="2131.5113790503115"/>
        <n v="2695.7025172144918"/>
        <n v="2248.690409388701"/>
        <n v="6289.6414011432507"/>
        <n v="835.05981600014832"/>
        <n v="6606.1366881874765"/>
        <n v="1042.7927194168321"/>
        <n v="843.72813430210169"/>
        <n v="7044.3613548623189"/>
        <n v="1155.8529471425604"/>
        <n v="3158.5585709281986"/>
        <n v="1907.9838329991794"/>
        <n v="3982.9806968057151"/>
        <n v="2096.4035921581776"/>
        <n v="251.09508271428572"/>
        <n v="5835.8405639285711"/>
        <n v="2941.4881598573475"/>
        <n v="2244.7862114721429"/>
        <n v="6335.0825460364285"/>
        <n v="1738.7275439285713"/>
        <n v="1645.0944331892858"/>
        <n v="1577.1428571428571"/>
        <n v="6827.2090825071436"/>
        <n v="3975.6537802214289"/>
        <n v="5055.400926351429"/>
        <n v="7265.7142857142853"/>
        <n v="7726.4224003192849"/>
        <n v="1387.5250477592856"/>
        <n v="1411.6682049331998"/>
        <n v="4586.3372710388849"/>
        <n v="5730.190571018572"/>
        <n v="2940.0563112857139"/>
        <n v="2332.6889687928569"/>
        <n v="1852.6109409750002"/>
        <n v="3352.9755715139286"/>
        <n v="7735.617763690715"/>
        <n v="1112.3593652092857"/>
        <n v="1320.3756838042857"/>
        <n v="2268.7855897857144"/>
        <n v="2209.8441271130496"/>
        <n v="2447.2685969314289"/>
        <n v="2277.5802657393879"/>
        <n v="2843.2938258607142"/>
        <n v="2243.4291254357145"/>
        <n v="6248.0835002432623"/>
        <n v="815.60019124500002"/>
        <n v="6569.7082631378025"/>
        <n v="1035.4471568900001"/>
        <n v="813.92352327142851"/>
        <n v="7013.51967522"/>
        <n v="1129.9688204296431"/>
        <n v="3144.3777398571428"/>
        <n v="1880.7200284035714"/>
        <n v="3968.2530720785717"/>
        <n v="1975.6325287678574"/>
        <n v="255.12876190476189"/>
        <n v="5842.5421714285721"/>
        <n v="2608.5340680273061"/>
        <n v="2052.6726109637943"/>
        <n v="6374.4690476190472"/>
        <n v="1745.2713857142858"/>
        <n v="1654.0201669090909"/>
        <n v="1595.2191162054837"/>
        <n v="6838.9160208070143"/>
        <n v="4163.6727571429037"/>
        <n v="6308.6772897249029"/>
        <n v="5131.7285655799406"/>
        <n v="7793.1877229267757"/>
        <n v="7737.8143142857143"/>
        <n v="1392.1529997889807"/>
        <n v="1419.6135281574047"/>
        <n v="5510.8957006804194"/>
        <n v="5754.7066977741397"/>
        <n v="2944.9230068027209"/>
        <n v="2376.7572511284775"/>
        <n v="1888.6042962492352"/>
        <n v="2861.4322110806174"/>
        <n v="7607.6266442165097"/>
        <n v="1061.9481506285715"/>
        <n v="1299.7489618685715"/>
        <n v="2346.489108858043"/>
        <n v="2251.0212338555398"/>
        <n v="2453.3650652828574"/>
        <n v="2127.4672771937576"/>
        <n v="2679.776171071911"/>
        <n v="2248.2011142857145"/>
        <n v="6274.0623768185305"/>
        <n v="836.6712365152141"/>
        <n v="6597.8840375706668"/>
        <n v="1044.0809999999999"/>
        <n v="843.90180411304482"/>
        <n v="7038.0035428571427"/>
        <n v="1156.3090017582751"/>
        <n v="3154.0387311570935"/>
        <n v="1914.1425201966983"/>
        <n v="3979.8774276441604"/>
        <n v="2109.2170668547433"/>
        <n v="242.77835478839339"/>
        <n v="5839.3987920033542"/>
        <n v="1521.9072135878948"/>
        <n v="1478.318698124777"/>
        <n v="6408.30576196114"/>
        <n v="1763.0231534984346"/>
        <n v="1674.5536154935842"/>
        <n v="1613.6707401914223"/>
        <n v="6892.0100009476837"/>
        <n v="4201.6691963156945"/>
        <n v="6338.0385910294926"/>
        <n v="5156.4104518593986"/>
        <n v="8781.0073780221701"/>
        <n v="7782.9772637579836"/>
        <n v="626.36024989542454"/>
        <n v="752.67335337754309"/>
        <n v="5306.6551618747544"/>
        <n v="5792.0465356389986"/>
        <n v="2973.1760414629398"/>
        <n v="2381.2663562606003"/>
        <n v="1527.3364930041701"/>
        <n v="2253.6757284881437"/>
        <n v="7632.4238918033998"/>
        <n v="694.70066349996853"/>
        <n v="988.96546676085677"/>
        <n v="2369.0841338769028"/>
        <n v="2277.4129785292153"/>
        <n v="2486.4904926322765"/>
        <n v="2019.4475284905698"/>
        <n v="2501.6576572893996"/>
        <n v="2264.7162398487494"/>
        <n v="6320.5700500390931"/>
        <n v="644.44859733026897"/>
        <n v="6625.4096778518515"/>
        <n v="1050.9378376574903"/>
        <n v="854.57572723317855"/>
        <n v="7073.5486513987153"/>
        <n v="1024.1087544100246"/>
        <n v="3176.874711210608"/>
        <n v="1899.4894736305196"/>
        <n v="4003.3625045102776"/>
        <n v="1661.8758375960792"/>
        <n v="245.68972190667341"/>
        <n v="5841.3183515108049"/>
        <n v="1627.5932078020353"/>
        <n v="1552.3534832591081"/>
        <n v="6406.9993705153911"/>
        <n v="1762.021238496684"/>
        <n v="1673.1884287952478"/>
        <n v="1611.018786360117"/>
        <n v="6890.4971379512508"/>
        <n v="4200.239729855547"/>
        <n v="6336.6493679809564"/>
        <n v="5154.6438381622766"/>
        <n v="8777.7859219616439"/>
        <n v="7780.5322000870365"/>
        <n v="630.43784979353381"/>
        <n v="756.56823108540993"/>
        <n v="5308.994463953165"/>
        <n v="5789.3541213013623"/>
        <n v="2971.8368482139012"/>
        <n v="2382.2955248782118"/>
        <n v="1365.226729133982"/>
        <n v="2261.6338642286946"/>
        <n v="7633.4683303166721"/>
        <n v="700.8734825333878"/>
        <n v="1033.3582772383133"/>
        <n v="2367.8306307554558"/>
        <n v="2275.2045564307405"/>
        <n v="2483.9674212240539"/>
        <n v="2021.6962942325461"/>
        <n v="2503.8160605002081"/>
        <n v="2263.7946020819863"/>
        <n v="6317.4155825436983"/>
        <n v="677.90393796162505"/>
        <n v="6623.7619362079276"/>
        <n v="1050.1816188459102"/>
        <n v="853.82796895834588"/>
        <n v="7072.6074934629851"/>
        <n v="1032.0476751865872"/>
        <n v="3175.5943222456858"/>
        <n v="1898.1041607710717"/>
        <n v="4001.8694839901796"/>
        <n v="1637.0873339040227"/>
        <n v="254.71726193263001"/>
        <n v="5857.5735872519872"/>
        <n v="1635.2108196787615"/>
        <n v="1561.22306899962"/>
        <n v="6402.171906417665"/>
        <n v="1757.7093299394771"/>
        <n v="1666.6254842599315"/>
        <n v="1604.9996627287728"/>
        <n v="6883.9873255764105"/>
        <n v="4195.728650587248"/>
        <n v="6332.9674412760478"/>
        <n v="5149.2934617757064"/>
        <n v="8769.8134032918424"/>
        <n v="7768.5909322753359"/>
        <n v="640.67815673266432"/>
        <n v="765.13888039099072"/>
        <n v="5314.8970634230254"/>
        <n v="5778.5612649842587"/>
        <n v="2967.0243941640933"/>
        <n v="2390.3917412849146"/>
        <n v="1370.4695126895087"/>
        <n v="2286.6658434503629"/>
        <n v="7641.8327884634691"/>
        <n v="731.7218102078424"/>
        <n v="1062.5283624536471"/>
        <n v="2363.064518249947"/>
        <n v="2263.8028644942574"/>
        <n v="2470.2833642452201"/>
        <n v="2031.3264120794884"/>
        <n v="2512.4849094582814"/>
        <n v="2259.1349425820295"/>
        <n v="6301.7447270633475"/>
        <n v="686.36864962344839"/>
        <n v="6618.0053944246511"/>
        <n v="1047.3009975636937"/>
        <n v="850.77115924302291"/>
        <n v="7060.0624857566345"/>
        <n v="1036.8287152540875"/>
        <n v="3170.601234912067"/>
        <n v="1915.4433698072685"/>
        <n v="3997.0237590947786"/>
        <n v="1660.7597107645342"/>
      </sharedItems>
    </cacheField>
    <cacheField name="North East" numFmtId="0">
      <sharedItems containsString="0" containsBlank="1" containsNumber="1" minValue="231.66666666666666" maxValue="9363.7691666666669" count="496">
        <n v="247.5"/>
        <n v="6551.666666666667"/>
        <n v="2451.6650883838383"/>
        <n v="2036.3163580246912"/>
        <n v="6295.7909238249604"/>
        <n v="1590"/>
        <n v="1283.3333333333333"/>
        <n v="1555"/>
        <n v="5109.7222222222226"/>
        <n v="2933.3333333333335"/>
        <n v="4904.5"/>
        <n v="3700.6527777777778"/>
        <n v="7083.333333333333"/>
        <n v="6391.666666666667"/>
        <n v="1345.7561438738333"/>
        <n v="1542.0950610857965"/>
        <n v="4338.333333333333"/>
        <n v="6220.166666666667"/>
        <n v="3253"/>
        <n v="2238.75"/>
        <n v="1520.5165343652382"/>
        <n v="1868.7482256249632"/>
        <n v="5783.7383333333337"/>
        <n v="1158.8048187401403"/>
        <n v="1112.5421841438704"/>
        <n v="2160.4166667222221"/>
        <n v="1888.5416666666667"/>
        <n v="2046.3333333333333"/>
        <n v="1970.367327293432"/>
        <n v="2263.1284546413094"/>
        <n v="2389.4516666666664"/>
        <n v="6094.6125000000002"/>
        <n v="880.5169253525969"/>
        <n v="5304.333333333333"/>
        <n v="996.5"/>
        <n v="963.625"/>
        <n v="5133.333333333333"/>
        <n v="1224.458990815787"/>
        <n v="3133.8878333333337"/>
        <n v="1817.7777777777776"/>
        <n v="4126.2273809375001"/>
        <n v="2227.2638888888887"/>
        <m/>
        <n v="243.74909722222228"/>
        <n v="6032.5059722222222"/>
        <n v="1747.5874926164961"/>
        <n v="1552.4709271461907"/>
        <n v="7360.2706798245626"/>
        <n v="1450"/>
        <n v="1319.3663888888884"/>
        <n v="1517.9427777777776"/>
        <n v="5966.2037037037035"/>
        <n v="2691.6666666666665"/>
        <n v="3975"/>
        <n v="9321.875"/>
        <n v="6349.0378968253963"/>
        <n v="833.32015810276664"/>
        <n v="916.66666666666663"/>
        <n v="4814.1025641025635"/>
        <n v="6212.3537868632702"/>
        <n v="2984.2593750000001"/>
        <n v="2556.6061111111107"/>
        <n v="1250.6891066901799"/>
        <n v="1672.0751639681496"/>
        <n v="5687.8354166666659"/>
        <n v="665.2444611420168"/>
        <n v="1124.6333053016376"/>
        <n v="2363.5390972222212"/>
        <n v="1951.9628880502416"/>
        <n v="1992.0237537985001"/>
        <n v="1905.33232175181"/>
        <n v="2223.0815441563359"/>
        <n v="2391.6666666666665"/>
        <n v="6219.4808001870961"/>
        <n v="682.44530261020918"/>
        <n v="5164.166666666667"/>
        <n v="913.0625"/>
        <n v="871.43819444444443"/>
        <n v="5567.8319444444451"/>
        <n v="1087.552945941512"/>
        <n v="2805.1013888888897"/>
        <n v="1579.8"/>
        <n v="3675.9861111111118"/>
        <n v="1898.8592617548891"/>
        <n v="244.54049773758501"/>
        <n v="6268.574209729456"/>
        <n v="792.95566818492568"/>
        <n v="759.81814494594789"/>
        <n v="7437.8769202214689"/>
        <n v="1476.2779924202484"/>
        <n v="1477.8337442969205"/>
        <n v="1409.07955305569"/>
        <n v="6555.9297098912421"/>
        <n v="3726.6069102728666"/>
        <n v="5017.4679999999998"/>
        <n v="4132.0363885750676"/>
        <n v="8587.1113859115194"/>
        <n v="7626.5079310676883"/>
        <n v="707.67838302323787"/>
        <n v="731.9533663787206"/>
        <n v="3788.7484458396516"/>
        <n v="6873.4611797086909"/>
        <n v="3018.7673351919461"/>
        <n v="2854.0109883829864"/>
        <n v="1611.6992590280199"/>
        <n v="1634.5668606765382"/>
        <n v="5873.4972561708882"/>
        <n v="508.89651893058959"/>
        <n v="1143.4731217339654"/>
        <n v="2310.6212595687234"/>
        <n v="1901.8091297073533"/>
        <n v="1945.761492324966"/>
        <n v="1636.4984918715425"/>
        <n v="2016.1476416504618"/>
        <n v="2469.1266666666666"/>
        <n v="6716.8238975746835"/>
        <n v="663.18139428681388"/>
        <n v="5851.8978300234912"/>
        <n v="1104.6055975984377"/>
        <n v="1049.8114961223334"/>
        <n v="5619.7602320117285"/>
        <n v="976.80113937243675"/>
        <n v="3211.2284487790098"/>
        <n v="1638.3599680584823"/>
        <n v="3477.7802202822331"/>
        <n v="1971.6215232440402"/>
        <n v="239.16666666666666"/>
        <n v="6291.666666666667"/>
        <n v="2449.8543969999996"/>
        <n v="1994.8439832500001"/>
        <n v="6086.1111111111122"/>
        <n v="1531.29375"/>
        <n v="1227.1270833333333"/>
        <n v="1663.3333333333333"/>
        <n v="5058.333333333333"/>
        <n v="2846.6666666666665"/>
        <n v="4716.666666666667"/>
        <n v="3459.875"/>
        <n v="7006.8627450833337"/>
        <n v="5554.6296296666669"/>
        <n v="1316.7162169166668"/>
        <n v="1465.7282976250001"/>
        <n v="4072.5"/>
        <n v="5740.4000000000005"/>
        <n v="2977.77777775"/>
        <n v="2133.3333333333335"/>
        <n v="1244.8118279166667"/>
        <n v="1643.4588252499998"/>
        <n v="5333.333333333333"/>
        <n v="988.5575049444443"/>
        <n v="745.92592591666664"/>
        <n v="2041.6666667222223"/>
        <n v="1808.2779146666664"/>
        <n v="2080.6839401666666"/>
        <n v="2031.601408430555"/>
        <n v="2273.6839380000001"/>
        <n v="2111.6666666666665"/>
        <n v="5493.7908496666669"/>
        <n v="788.69153400000005"/>
        <n v="4966.5263375000004"/>
        <n v="920.83333333333337"/>
        <n v="846.66666666666663"/>
        <n v="4870"/>
        <n v="786.66666666666663"/>
        <n v="2823.1481480833331"/>
        <n v="1616.6666666666667"/>
        <n v="3728.8888888333336"/>
        <n v="1752.2682633333334"/>
        <n v="231.66666666666666"/>
        <n v="6250"/>
        <n v="2434.8698172500003"/>
        <n v="1994.3279184166668"/>
        <n v="5671.1111111111104"/>
        <n v="1470.1826388888883"/>
        <n v="1196.8745580833333"/>
        <n v="1610"/>
        <n v="5088.0952380833332"/>
        <n v="2791.6666666666665"/>
        <n v="4550"/>
        <n v="3451.5416666666665"/>
        <n v="6705.5555555833334"/>
        <n v="5408.1780168333335"/>
        <n v="1336.2595670833334"/>
        <n v="1494.0327344999998"/>
        <n v="3949.1666666666665"/>
        <n v="5457.2586666666666"/>
        <n v="2702.77777775"/>
        <n v="2150"/>
        <n v="1243.14516125"/>
        <n v="1619.7363222499998"/>
        <n v="4919.1176470833334"/>
        <n v="1052.0022724583332"/>
        <n v="743.61111111111097"/>
        <n v="1907.7777778055558"/>
        <n v="1799.2261904999998"/>
        <n v="2104.4934639999997"/>
        <n v="1952.3110684583332"/>
        <n v="2241.3407833333335"/>
        <n v="2091.6666666666665"/>
        <n v="5433.333333333333"/>
        <n v="796.30718949999994"/>
        <n v="4900"/>
        <n v="950"/>
        <n v="856.66666666666663"/>
        <n v="4825.5555555000001"/>
        <n v="768.33333333333337"/>
        <n v="2617.5925924999997"/>
        <n v="1650"/>
        <n v="3829.0270833333329"/>
        <n v="1704.4404558333335"/>
        <n v="279.36753444999999"/>
        <n v="5920"/>
        <n v="2124.2222222222222"/>
        <n v="2000"/>
        <n v="7208.333333333333"/>
        <n v="1462.5"/>
        <n v="1327.3163177777778"/>
        <n v="1475"/>
        <n v="5175"/>
        <n v="2362.5"/>
        <n v="3675"/>
        <n v="9291.6666666666661"/>
        <n v="6208.333333333333"/>
        <n v="1233.3333333333333"/>
        <n v="1308.3333333333333"/>
        <n v="4708.333333333333"/>
        <n v="6016.666666666667"/>
        <n v="3158.3333333333335"/>
        <n v="2341.6666666666665"/>
        <n v="1949.1666666666667"/>
        <n v="1935.2739221622198"/>
        <n v="5691.833333333333"/>
        <n v="1067.0469754335102"/>
        <n v="1341.6666666666667"/>
        <n v="2258.3333333333335"/>
        <n v="1880"/>
        <n v="2448"/>
        <n v="1923.1745177873681"/>
        <n v="2514.6192927618172"/>
        <n v="2360"/>
        <n v="6350"/>
        <n v="850.83333333333337"/>
        <n v="5025"/>
        <n v="937.5"/>
        <n v="925.83333333333337"/>
        <n v="5466.666666666667"/>
        <n v="1121.6666666666667"/>
        <n v="3147.5"/>
        <n v="1688.3333333333333"/>
        <n v="3924.6318333170166"/>
        <n v="2447.4718113333333"/>
        <n v="263.70833333333331"/>
        <n v="6441.666666666667"/>
        <n v="2174.2222222222222"/>
        <n v="2069.3589743589741"/>
        <n v="7148.020833333333"/>
        <n v="1454.1666666666667"/>
        <n v="1315.45"/>
        <n v="1500.1074166666667"/>
        <n v="5150"/>
        <n v="3666.6666666666665"/>
        <n v="9166.6666666666661"/>
        <n v="6096.666666666667"/>
        <n v="1328.937607963695"/>
        <n v="1470.6793967880924"/>
        <n v="4650"/>
        <n v="6025"/>
        <n v="3185.7787083333333"/>
        <n v="2342.5213749999998"/>
        <n v="1971.6666666666667"/>
        <n v="1971.6947113956478"/>
        <n v="5666.833333333333"/>
        <n v="1115.5742358609039"/>
        <n v="1358.6666666666667"/>
        <n v="2241.1444444444446"/>
        <n v="1896.6666666666667"/>
        <n v="2421.3333333333335"/>
        <n v="1954.8411844540349"/>
        <n v="2519.1854939177333"/>
        <n v="2366.6666666666665"/>
        <n v="6316.666666666667"/>
        <n v="886.66666666666663"/>
        <n v="5006.9819819819822"/>
        <n v="938.99166666666667"/>
        <n v="919.17916666666667"/>
        <n v="5483.7058333333334"/>
        <n v="1191.6666666666667"/>
        <n v="3136.25"/>
        <n v="1716.6666666666667"/>
        <n v="3907.9651666503501"/>
        <n v="2472.6333333333332"/>
        <n v="254.48333333333335"/>
        <n v="6341.666666666667"/>
        <n v="2775.4694848641666"/>
        <n v="2180.4319292650002"/>
        <n v="6218.75"/>
        <n v="1570.9998750000002"/>
        <n v="1298.8332083333332"/>
        <n v="1691.6666666666667"/>
        <n v="5222.5"/>
        <n v="2931.8333333333335"/>
        <n v="4810"/>
        <n v="3629.5"/>
        <n v="7153.7794117500007"/>
        <n v="5884.6296296666669"/>
        <n v="1369.4025807716669"/>
        <n v="1529.0821813333334"/>
        <n v="4273.375"/>
        <n v="6290.833333333333"/>
        <n v="3208.1111110833335"/>
        <n v="2222.0000000316668"/>
        <n v="1290.8965053291668"/>
        <n v="1721.9955739224999"/>
        <n v="5772.916666666667"/>
        <n v="1169.1216270725001"/>
        <n v="780.33333332250004"/>
        <n v="2127.7777778333334"/>
        <n v="1849.1522989091666"/>
        <n v="2193.863821107308"/>
        <n v="2129.7667646580553"/>
        <n v="2351.3498518912502"/>
        <n v="2147.1666666666665"/>
        <n v="5720.5882352866656"/>
        <n v="856.44756444583334"/>
        <n v="5432.1495485591668"/>
        <n v="1000.5833333333334"/>
        <n v="870.41666666666663"/>
        <n v="5088.5"/>
        <n v="809.25925925925924"/>
        <n v="3088.9999999066672"/>
        <n v="1717.25"/>
        <n v="4037.0458332683338"/>
        <n v="1787.0066322741666"/>
        <n v="259.15708333333333"/>
        <n v="6113.333333333333"/>
        <n v="2421.5097222445361"/>
        <n v="2141.8125"/>
        <n v="6383.333333333333"/>
        <n v="1437.5"/>
        <n v="1310.0694444444443"/>
        <n v="1446.3179939077461"/>
        <n v="4810.9611742442394"/>
        <n v="2387.5"/>
        <n v="3699.1666666666665"/>
        <n v="8375"/>
        <n v="5550"/>
        <n v="1366.6666666666667"/>
        <n v="1647.20606865644"/>
        <n v="4616.666666666667"/>
        <n v="5699.895833333333"/>
        <n v="3113.2916666666665"/>
        <n v="2245.8333333333335"/>
        <n v="1972.9555248903368"/>
        <n v="1921.6756339256181"/>
        <n v="1114.90808304699"/>
        <n v="1289.8809523809523"/>
        <n v="2207.3918055654858"/>
        <n v="1857.7142364627134"/>
        <n v="2449.6666666666665"/>
        <n v="1944.4047011978116"/>
        <n v="2403.4122106803629"/>
        <n v="2376.6666666666665"/>
        <n v="5983.333333333333"/>
        <n v="931.95175438596505"/>
        <n v="4956.9819819819822"/>
        <n v="928.44097222222217"/>
        <n v="968.38222222222214"/>
        <n v="5000"/>
        <n v="1284.4061195198331"/>
        <n v="3075"/>
        <n v="1750"/>
        <n v="4050"/>
        <n v="2250"/>
        <n v="253.9282557952134"/>
        <n v="6323.9206934740678"/>
        <n v="982.78827964877507"/>
        <n v="864.95689471574917"/>
        <n v="7514.6637476828"/>
        <n v="1490.1274478053135"/>
        <n v="1422.2105740312325"/>
        <n v="1406.8332893885579"/>
        <n v="6639.5851494524732"/>
        <n v="2749.7190196739284"/>
        <n v="5108.2457777777772"/>
        <n v="4056.674815119803"/>
        <n v="8505.3059325806407"/>
        <n v="7327.8532458388836"/>
        <n v="718.02488628416938"/>
        <n v="781.77706795417328"/>
        <n v="4056.1530579470232"/>
        <n v="6833.2338989526752"/>
        <n v="3359.024270112905"/>
        <n v="2996.2336579079747"/>
        <n v="1521.0401001327243"/>
        <n v="1510.5144721990935"/>
        <n v="5843.5370964255171"/>
        <n v="1471.3019704190538"/>
        <n v="2465.1262678172529"/>
        <n v="1931.5042469691132"/>
        <n v="1949.4543813643793"/>
        <n v="1608.5395970114375"/>
        <n v="1983.4998278990181"/>
        <n v="2478.6731137037036"/>
        <n v="6560.3764711449849"/>
        <n v="736.42217526351794"/>
        <n v="5960.5896896591812"/>
        <n v="1128.0652137597217"/>
        <n v="1160.9573167303695"/>
        <n v="5825.6187061877599"/>
        <n v="1110.9650206214167"/>
        <n v="3115.4613635040223"/>
        <n v="1926.9906248636255"/>
        <n v="3706.572330094692"/>
        <n v="1863.9677785830743"/>
        <n v="269.61710484994165"/>
        <n v="6357.7244700607298"/>
        <n v="1543.664035816445"/>
        <n v="1365.5897869112825"/>
        <n v="7316.5761998628923"/>
        <n v="1486.8497233179185"/>
        <n v="1458.9527341124819"/>
        <n v="1526.7150914467841"/>
        <n v="6539.5730955146391"/>
        <n v="2822.3249266094904"/>
        <n v="5106.4874444444449"/>
        <n v="4221.3657168971349"/>
        <n v="9029.3571661438236"/>
        <n v="7240.8555588701556"/>
        <n v="724.65338573737165"/>
        <n v="809.52479545412677"/>
        <n v="4412.5440004252587"/>
        <n v="7029.7831969860281"/>
        <n v="3371.8036438254344"/>
        <n v="2929.4885964445198"/>
        <n v="1168.7154683139233"/>
        <n v="1729.5398492491668"/>
        <n v="5908.5734874527252"/>
        <n v="795.4644528764278"/>
        <n v="1477.774114229617"/>
        <n v="2569.3668224125499"/>
        <n v="2026.0950756623408"/>
        <n v="2094.8232749412505"/>
        <n v="1803.384151475"/>
        <n v="2071.3459196698609"/>
        <n v="2477.1364470370372"/>
        <n v="6537.8209073803382"/>
        <n v="703.25256748780396"/>
        <n v="5811.151536022001"/>
        <n v="1117.3992065277776"/>
        <n v="1073.5866304259259"/>
        <n v="6009.6989536154624"/>
        <n v="1102.7341055671366"/>
        <n v="2919.011861518889"/>
        <n v="1866.624369060567"/>
        <n v="3722.7084072091661"/>
        <n v="1929.9686675829578"/>
        <n v="233.09346180555553"/>
        <n v="5759.3037847222222"/>
        <n v="1696.6259309936224"/>
        <n v="1425.8930393959718"/>
        <n v="7260.4323768518489"/>
        <n v="1316.6666666666667"/>
        <n v="1492.5"/>
        <n v="6211.9206518518522"/>
        <n v="2650"/>
        <n v="3958.3333333333335"/>
        <n v="9363.7691666666669"/>
        <n v="6305.4726180856114"/>
        <n v="672.76943346508563"/>
        <n v="788.33333333333337"/>
        <n v="4750.75"/>
        <n v="6224.3186388888898"/>
        <n v="3122.3522222222223"/>
        <n v="2553.9661111111118"/>
        <n v="1236.75265735332"/>
        <n v="1669.206466177219"/>
        <n v="5650.916666666667"/>
        <n v="607.9285852167601"/>
        <n v="1057.6545834986771"/>
        <n v="2509.6205826388891"/>
        <n v="1933.1150803845833"/>
        <n v="1968.2354891304349"/>
        <n v="1883.5534202404667"/>
        <n v="2153.4444807880286"/>
        <n v="2458.194722222222"/>
        <n v="6140.514213845162"/>
        <n v="625.90660882920838"/>
        <n v="5209.69136968766"/>
        <n v="918.33333333333337"/>
        <n v="845.41666666666663"/>
        <n v="5564.8431770152501"/>
        <n v="1031.750579996911"/>
        <n v="2766.2906944444458"/>
        <n v="1580"/>
        <n v="3672.6545416666668"/>
        <n v="1874.6395155348027"/>
      </sharedItems>
    </cacheField>
    <cacheField name="North West" numFmtId="0">
      <sharedItems containsString="0" containsBlank="1" containsNumber="1" minValue="237.51593527013202" maxValue="9178.4744224987644" count="505">
        <n v="242.78968253968256"/>
        <n v="5082.5"/>
        <n v="1682.0723762811563"/>
        <n v="1566.3427593313822"/>
        <n v="5776.171114599686"/>
        <n v="1727.2392857619047"/>
        <n v="1713.2661616399714"/>
        <n v="1581.6337885350324"/>
        <n v="4593.3879826440379"/>
        <n v="2506.2146959700526"/>
        <n v="4923.0758212375868"/>
        <n v="4527.4793701668696"/>
        <n v="6983.0519480519488"/>
        <n v="5782.7566481205577"/>
        <n v="1503.7414470323674"/>
        <n v="1457.1643479556881"/>
        <n v="5445.1745773252987"/>
        <n v="6066.7813852813842"/>
        <n v="2911.9921871768202"/>
        <n v="2668.9001018309959"/>
        <n v="1493.2197510544952"/>
        <n v="1757.0168846059346"/>
        <n v="4308.2679627911766"/>
        <n v="1133.8238888053086"/>
        <n v="1278.0287914053047"/>
        <n v="2643.7609668109667"/>
        <n v="1886.2252900033943"/>
        <n v="1888.8616814996167"/>
        <n v="2208.3415507341269"/>
        <n v="2661.3483459392414"/>
        <n v="2009.135592797619"/>
        <n v="4703.7928617812131"/>
        <n v="872.93800722038918"/>
        <n v="4882.6804511250002"/>
        <n v="910.44217687074831"/>
        <n v="870.10923005565871"/>
        <n v="6677.7254302994943"/>
        <n v="1031.2201880524058"/>
        <n v="3049.1849618635329"/>
        <n v="1566.6146773861067"/>
        <n v="3984.5714285714284"/>
        <n v="2142.8085820230444"/>
        <m/>
        <n v="243.70464625850241"/>
        <n v="5604.1168144712437"/>
        <n v="1425.4797873157772"/>
        <n v="1281.5958262050044"/>
        <n v="5691.2686696013998"/>
        <n v="1654.5714285714287"/>
        <n v="1666.3880022727274"/>
        <n v="1537.7454067953956"/>
        <n v="4714.6961904761902"/>
        <n v="2622.8616246498596"/>
        <n v="4897"/>
        <n v="4163.2313960432957"/>
        <n v="8910.6246534253642"/>
        <n v="5524.8913948796235"/>
        <n v="961.05329369384037"/>
        <n v="1014.747176906503"/>
        <n v="4561.6030163883715"/>
        <n v="5956.7343635880516"/>
        <n v="3017.7081822510822"/>
        <n v="2625.1989285714276"/>
        <n v="1236.1008558766212"/>
        <n v="1823.0501694148359"/>
        <n v="4557.5014448051943"/>
        <n v="930.98056254334529"/>
        <n v="1050.5285481858227"/>
        <n v="2534.9107149427946"/>
        <n v="1942.8995861748658"/>
        <n v="2013.6704487171444"/>
        <n v="1961.2166908398797"/>
        <n v="2252.6830606344779"/>
        <n v="1932.4011902494344"/>
        <n v="4771.8488361409472"/>
        <n v="661.4607354766041"/>
        <n v="4777.8571428571368"/>
        <n v="927.60031222943758"/>
        <n v="890.46924591836728"/>
        <n v="6622.8081068027222"/>
        <n v="933.6352714649729"/>
        <n v="3012.897341269841"/>
        <n v="1614.9311411564627"/>
        <n v="3573.5783321428571"/>
        <n v="2035.4548056374874"/>
        <n v="238.10980095356874"/>
        <n v="5649.7932190365918"/>
        <n v="771.72541900144859"/>
        <n v="731.01673758015136"/>
        <n v="5925.2625406993293"/>
        <n v="1723.4460715000005"/>
        <n v="1680.5160822193041"/>
        <n v="1613.2444134535071"/>
        <n v="4797.3780211849598"/>
        <n v="2655.3293670010985"/>
        <n v="4914.034285714285"/>
        <n v="4201.1340404213315"/>
        <n v="8633.5765381697147"/>
        <n v="5689.7783632865276"/>
        <n v="694.09054061316294"/>
        <n v="704.86905463823712"/>
        <n v="4605.7061411805134"/>
        <n v="6086.9353279432153"/>
        <n v="3236.1048429446755"/>
        <n v="2617.8971576491313"/>
        <n v="1171.7068948632416"/>
        <n v="1675.9106411154171"/>
        <n v="4458.1666428081362"/>
        <n v="859.96852925242001"/>
        <n v="957.38510255920869"/>
        <n v="2548.0972742521144"/>
        <n v="1804.5788768440686"/>
        <n v="1863.2379205566745"/>
        <n v="1761.0006141111514"/>
        <n v="2055.1700595916145"/>
        <n v="1910.5194955884015"/>
        <n v="4794.2777630543715"/>
        <n v="561.48170674296318"/>
        <n v="4610.8462281606426"/>
        <n v="879.22235734415131"/>
        <n v="861.48572051672875"/>
        <n v="6819.1485101251692"/>
        <n v="790.33397066662712"/>
        <n v="2890.321433016074"/>
        <n v="1539.7660692573002"/>
        <n v="3547.4328055405254"/>
        <n v="1994.0627026703271"/>
        <n v="238.57142857142858"/>
        <n v="5772.8571428571431"/>
        <n v="1803.6721464583334"/>
        <n v="1625.2521247976194"/>
        <n v="5593.5714285714284"/>
        <n v="1680.5833333571427"/>
        <n v="1668.6966577585044"/>
        <n v="1532.1194148690477"/>
        <n v="4102.2619047619037"/>
        <n v="2428.9520833571432"/>
        <n v="4581.4285714285716"/>
        <n v="3857.0833332857142"/>
        <n v="6856.4508118571439"/>
        <n v="5095.2741702142857"/>
        <n v="1559.2989840071434"/>
        <n v="1606.6044573285715"/>
        <n v="3598.8742011190475"/>
        <n v="5687.7112135714287"/>
        <n v="2739.8290476428569"/>
        <n v="2357.5697778571425"/>
        <n v="1348.7394075357145"/>
        <n v="1610.6313636369043"/>
        <n v="4613.0357142857147"/>
        <n v="1110.7010322772107"/>
        <n v="1094.8550120777199"/>
        <n v="2549.0476190714285"/>
        <n v="1781.1713424523816"/>
        <n v="1922.7110587142856"/>
        <n v="2097.0590326739798"/>
        <n v="2758.0328126428572"/>
        <n v="1830"/>
        <n v="4405.1564812380957"/>
        <n v="655.29109429710877"/>
        <n v="4603.0075187142857"/>
        <n v="872.14285714285711"/>
        <n v="807.85714285714289"/>
        <n v="6123.4056122142856"/>
        <n v="844.41387040493225"/>
        <n v="2672.7380952142857"/>
        <n v="1435.3112622397948"/>
        <n v="3814.2857142857142"/>
        <n v="2071.5452104874157"/>
        <n v="239.1904761904762"/>
        <n v="5712.5"/>
        <n v="1836.714951660714"/>
        <n v="1578.7085512921769"/>
        <n v="5417.1428571428569"/>
        <n v="1645.2857142857138"/>
        <n v="1612.0271566088445"/>
        <n v="1521.2869404047617"/>
        <n v="4109.8214285714284"/>
        <n v="2329.6145833571431"/>
        <n v="4400"/>
        <n v="3809.7077921428572"/>
        <n v="6730.1946002142859"/>
        <n v="5263.5930736428572"/>
        <n v="1499.0255479833343"/>
        <n v="1575.8767902821432"/>
        <n v="3483.5714286190478"/>
        <n v="5511.5207373809526"/>
        <n v="2683.2814285952377"/>
        <n v="2191.6386554285714"/>
        <n v="1341.6481488035715"/>
        <n v="1571.4035087023815"/>
        <n v="4486.1309523809532"/>
        <n v="1003.7791467414962"/>
        <n v="1116.0421537559528"/>
        <n v="2552.7824675571428"/>
        <n v="1716.0689865476186"/>
        <n v="1910.565934"/>
        <n v="2038.7620540602034"/>
        <n v="2678.3922907976184"/>
        <n v="1771.4285714285713"/>
        <n v="4161.7589292619041"/>
        <n v="676.73432742551017"/>
        <n v="4627.4436089999999"/>
        <n v="856.42857142857144"/>
        <n v="805.71428571428567"/>
        <n v="5878.0952380892859"/>
        <n v="790.45975332584942"/>
        <n v="2625.3571428571427"/>
        <n v="1396.4047619107143"/>
        <n v="3735.7142857142858"/>
        <n v="2043.0226889704088"/>
        <n v="249.03635328881677"/>
        <n v="5668.4516960542269"/>
        <n v="1744.5032748628798"/>
        <n v="1623.1822685529876"/>
        <n v="5625.3008705302773"/>
        <n v="1710.6553809761906"/>
        <n v="1760.4590414340666"/>
        <n v="1542.7380775833897"/>
        <n v="4656.9276377106089"/>
        <n v="2587.8935747825158"/>
        <n v="4952.2607822765467"/>
        <n v="4343.5200953187741"/>
        <n v="9178.4744224987644"/>
        <n v="5907.3891708391238"/>
        <n v="1296.3442805630634"/>
        <n v="1350.6538751729872"/>
        <n v="5510.6825243659887"/>
        <n v="6150.5026919973607"/>
        <n v="3066.7711500981873"/>
        <n v="2659.9186956358112"/>
        <n v="1441.4385382835785"/>
        <n v="1968.177490544809"/>
        <n v="4585.2627659840018"/>
        <n v="951.54232565156246"/>
        <n v="1180.2034876484643"/>
        <n v="2616.4674242160404"/>
        <n v="1971.3355504978281"/>
        <n v="2087.9426594409642"/>
        <n v="2118.8684269842238"/>
        <n v="2516.6144822219985"/>
        <n v="2122.6909710884347"/>
        <n v="4902.7340950545831"/>
        <n v="851.70169368692564"/>
        <n v="4889.7884635364517"/>
        <n v="909.14680793736807"/>
        <n v="867.64366394021806"/>
        <n v="6571.4905510855579"/>
        <n v="1021.1071779913385"/>
        <n v="3217.9235295918375"/>
        <n v="1561.5596773861048"/>
        <n v="3978.9566658285935"/>
        <n v="2143.7092665973382"/>
        <n v="249.64600013340552"/>
        <n v="5661.1641973433079"/>
        <n v="1745.0148453234171"/>
        <n v="1623.2535599501389"/>
        <n v="5717.3801370858137"/>
        <n v="1699.3342655051906"/>
        <n v="1746.6967796534384"/>
        <n v="1542.9748653810714"/>
        <n v="4714.6851353216052"/>
        <n v="2605.5748917678707"/>
        <n v="4928.6211117861258"/>
        <n v="4447.7773393017942"/>
        <n v="8480.4727071332873"/>
        <n v="5962.2970634493931"/>
        <n v="1334.3023672057586"/>
        <n v="1362.0853276704754"/>
        <n v="5595.5956201262879"/>
        <n v="6094.703689441254"/>
        <n v="3088.0071017236874"/>
        <n v="2747.2527359339024"/>
        <n v="1464.2377153489415"/>
        <n v="1952.9587456745078"/>
        <n v="4440.6113191789227"/>
        <n v="998.70599201245057"/>
        <n v="1214.334471739194"/>
        <n v="2657.7429174694671"/>
        <n v="1939.8315064857384"/>
        <n v="2041.7678815316156"/>
        <n v="2183.1020245079526"/>
        <n v="2562.4627207840854"/>
        <n v="2093.3515140646255"/>
        <n v="4810.4444339749343"/>
        <n v="867.76359725167856"/>
        <n v="5081.8506201387363"/>
        <n v="914.45611044508416"/>
        <n v="875.42840277616881"/>
        <n v="6770.1642700475104"/>
        <n v="1057.4766766485757"/>
        <n v="3245.8692573696148"/>
        <n v="1559.2446773861063"/>
        <n v="3940.7621672050518"/>
        <n v="2215.5338175123975"/>
        <n v="242.85"/>
        <n v="5808.9285714285716"/>
        <n v="1788.797315359717"/>
        <n v="1610.9339441860957"/>
        <n v="5781.9285714285716"/>
        <n v="1712.5128571666671"/>
        <n v="1731.933550461803"/>
        <n v="1580"/>
        <n v="4316.0952380952385"/>
        <n v="2428.7026785985713"/>
        <n v="4707.1428571428569"/>
        <n v="4137.1205356585715"/>
        <n v="7224.5341798878571"/>
        <n v="5611.8279220021432"/>
        <n v="1602.3057893078287"/>
        <n v="1648.3481168625228"/>
        <n v="3758.5280078093356"/>
        <n v="6449.2649770214284"/>
        <n v="2875.6194000271425"/>
        <n v="2539.0134753314283"/>
        <n v="1410.8080933276979"/>
        <n v="1651.8713751935713"/>
        <n v="4665.0196428571426"/>
        <n v="1187.2765340550475"/>
        <n v="1126.9896647302198"/>
        <n v="2598.1857143131429"/>
        <n v="1808.2634410028572"/>
        <n v="1946.9928047914286"/>
        <n v="2266.3075809222878"/>
        <n v="2808.5887889873816"/>
        <n v="1892.8571428571429"/>
        <n v="4650.8396494742856"/>
        <n v="744.1573176577773"/>
        <n v="4844.3045111814281"/>
        <n v="902.28571428571433"/>
        <n v="854.36785714285713"/>
        <n v="6570.2825254642858"/>
        <n v="866.19800073213867"/>
        <n v="2899.3571428292857"/>
        <n v="1573.6483763678573"/>
        <n v="3944.3571428571427"/>
        <n v="2187.908467360744"/>
        <n v="245.61825396825571"/>
        <n v="5744.3607142857145"/>
        <n v="1766.2272231703398"/>
        <n v="1580.2767629172629"/>
        <n v="5793.5996860282567"/>
        <n v="1740.5692859761905"/>
        <n v="1720.8390187829868"/>
        <n v="1600.8264218535394"/>
        <n v="4617.512268358324"/>
        <n v="2519.4393296697517"/>
        <n v="4976.3801069518713"/>
        <n v="4543.6713024012852"/>
        <n v="7969.4342857142856"/>
        <n v="5810.5852208349597"/>
        <n v="1516.813892029717"/>
        <n v="1471.4574330561429"/>
        <n v="5458.1384513829162"/>
        <n v="6086.4995670995568"/>
        <n v="2931.4630951866898"/>
        <n v="2682.7673259567609"/>
        <n v="1507.1314985385143"/>
        <n v="1974.8934099673413"/>
        <n v="4320.989934034119"/>
        <n v="1134.9055547196856"/>
        <n v="1289.63001249686"/>
        <n v="2660.6723953823175"/>
        <n v="1900.381975658943"/>
        <n v="1987.9738371616816"/>
        <n v="2210.6426202856096"/>
        <n v="2670.64657320579"/>
        <n v="2064.0989550476183"/>
        <n v="4720.571917206873"/>
        <n v="937.64870250575962"/>
        <n v="5013.817969642857"/>
        <n v="925.47689115646267"/>
        <n v="884.28189239332096"/>
        <n v="6695.1776704520935"/>
        <n v="1063.9252476991076"/>
        <n v="3063.2054553700227"/>
        <n v="1594.7318202432475"/>
        <n v="4002.2514285714287"/>
        <n v="2169.4557248801871"/>
        <n v="237.51593527013202"/>
        <n v="5650.3423281390578"/>
        <n v="1176.0367250517286"/>
        <n v="1049.8520688171557"/>
        <n v="5921.2759557497002"/>
        <n v="1684.8657142857141"/>
        <n v="1660.9538140331426"/>
        <n v="1631.3140414049742"/>
        <n v="4779.2628616050179"/>
        <n v="2604.3221738728603"/>
        <n v="4914.0814285714287"/>
        <n v="4202.9141315474153"/>
        <n v="8833.2406621509108"/>
        <n v="5650.824368180909"/>
        <n v="794.75757275940134"/>
        <n v="844.78234073996566"/>
        <n v="4577.9757151863141"/>
        <n v="6181.257428590211"/>
        <n v="3326.9194089601328"/>
        <n v="2610.8162476824327"/>
        <n v="1170.3338500889201"/>
        <n v="1759.5807307772084"/>
        <n v="4460.0984587035482"/>
        <n v="870.66062186801616"/>
        <n v="961.17166071341148"/>
        <n v="2615.2294865263857"/>
        <n v="1910.2543511498745"/>
        <n v="1981.8558168846696"/>
        <n v="1863.3245370581899"/>
        <n v="2095.0234458706409"/>
        <n v="1954.4851782004571"/>
        <n v="4872.5348915022159"/>
        <n v="608.6887291584344"/>
        <n v="4684.5834714416678"/>
        <n v="881.85400887145272"/>
        <n v="878.12592959776862"/>
        <n v="6799.8043790257534"/>
        <n v="867.70464805381005"/>
        <n v="2921.6496963231643"/>
        <n v="1596.6510641990158"/>
        <n v="3555.0551113429619"/>
        <n v="1997.9858174476688"/>
        <n v="241.59411624942081"/>
        <n v="5654.0362410409098"/>
        <n v="1349.2250491235013"/>
        <n v="1190.938912164703"/>
        <n v="5850.4360236273933"/>
        <n v="1702.2841667142857"/>
        <n v="1682.8447458662342"/>
        <n v="1588.9748674713771"/>
        <n v="4687.7833279577389"/>
        <n v="2621.6567673739751"/>
        <n v="4903.5714285714284"/>
        <n v="4107.5744655120679"/>
        <n v="8862.0868156632387"/>
        <n v="5475.7805604058021"/>
        <n v="840.38940435553707"/>
        <n v="903.20639960718711"/>
        <n v="4456.8297640687324"/>
        <n v="6084.3561183276206"/>
        <n v="3243.9042254328388"/>
        <n v="2595.6896362757143"/>
        <n v="1020.9542686978457"/>
        <n v="1776.314418885833"/>
        <n v="4396.2632002564451"/>
        <n v="876.33886946261214"/>
        <n v="997.57755442739006"/>
        <n v="2623.2530647143099"/>
        <n v="1944.952730894043"/>
        <n v="1990.9781017964615"/>
        <n v="1924.2801986602456"/>
        <n v="2144.6170601123813"/>
        <n v="1949.0027043170244"/>
        <n v="4770.3871695187199"/>
        <n v="597.71745565355116"/>
        <n v="4725.1272184523814"/>
        <n v="925.27618185077142"/>
        <n v="901.11875662244859"/>
        <n v="6719.6449041526221"/>
        <n v="898.20786903864712"/>
        <n v="2936.4884819343174"/>
        <n v="1563.2416811842043"/>
        <n v="3547.2491843059515"/>
        <n v="1979.0632980440193"/>
        <n v="239.76733996598634"/>
        <n v="5561.5549601113171"/>
        <n v="1397.9702248988074"/>
        <n v="1266.2554412067079"/>
        <n v="5734.8828487342698"/>
        <n v="1635.7142857142858"/>
        <n v="1658.2826945021641"/>
        <n v="1561.0471129409329"/>
        <n v="4665.7645428571414"/>
        <n v="2627.2624404761896"/>
        <n v="4926.1428571428569"/>
        <n v="4118.3429618001055"/>
        <n v="8928.8101516051465"/>
        <n v="5483.0266938943341"/>
        <n v="898.30439126720285"/>
        <n v="989.91267563623285"/>
        <n v="4428.2968584024575"/>
        <n v="5994.6568610930781"/>
        <n v="3086.5190106926311"/>
        <n v="2620.79130952381"/>
        <n v="1148.1203340350401"/>
        <n v="1802.0558429950815"/>
        <n v="4448.166893939393"/>
        <n v="872.78937776362807"/>
        <n v="981.52916491290284"/>
        <n v="2532.47080593692"/>
        <n v="1950.7617306252228"/>
        <n v="1995.3831412004586"/>
        <n v="1962.6952835032173"/>
        <n v="2243.2002364767168"/>
        <n v="1907.2376612585031"/>
        <n v="4851.7582049814728"/>
        <n v="610.44440002623287"/>
        <n v="4737.1015476190469"/>
        <n v="923.82623265924576"/>
        <n v="885.66973724489867"/>
        <n v="6725.5416721428564"/>
        <n v="870.78033372033292"/>
        <n v="2975.9396155555573"/>
        <n v="1559.1079924165128"/>
        <n v="3466.942695238095"/>
        <n v="2008.7995665103906"/>
      </sharedItems>
    </cacheField>
    <cacheField name="South East" numFmtId="0">
      <sharedItems containsString="0" containsBlank="1" containsNumber="1" minValue="241.81906475335478" maxValue="9997.442491660524" count="505">
        <n v="300.20397264833338"/>
        <n v="7155.2697333333344"/>
        <n v="3230"/>
        <n v="2800"/>
        <n v="8305.4706102698365"/>
        <n v="1651.7825250297999"/>
        <n v="1522.6848473333334"/>
        <n v="2340.814285389265"/>
        <n v="5945.6304506889146"/>
        <n v="3443.1298379030059"/>
        <n v="7633.3982545837325"/>
        <n v="4978.8353026109453"/>
        <n v="7016.6636926984402"/>
        <n v="9148.7999999999993"/>
        <n v="1410.2248865821286"/>
        <n v="1533.3947125565596"/>
        <n v="5496.4685139841058"/>
        <n v="8460.5404257477767"/>
        <n v="3092.1165323839982"/>
        <n v="2903.71557122284"/>
        <n v="2600.6335787950848"/>
        <n v="2320"/>
        <n v="5249.7898228520307"/>
        <n v="1530"/>
        <n v="2022.022310453"/>
        <n v="2689.3736781140005"/>
        <n v="2280.0732283265179"/>
        <n v="2463.2067842321421"/>
        <n v="2250"/>
        <n v="2704.6"/>
        <n v="2449.8925542355291"/>
        <n v="6440.036881709706"/>
        <n v="938.28048589145396"/>
        <n v="5430.1183510963965"/>
        <n v="1110.2198000000001"/>
        <n v="910.60581395000008"/>
        <n v="5856.3123339138965"/>
        <n v="1779.0239286967458"/>
        <n v="3571.3714526273552"/>
        <n v="2646.6352745960003"/>
        <n v="5627.0298200115922"/>
        <n v="2456.5312715219402"/>
        <m/>
        <n v="280.55"/>
        <n v="6864.2"/>
        <n v="2241.5682291905996"/>
        <n v="2100.1414637334819"/>
        <n v="8672.459453565516"/>
        <n v="1687.4844014437779"/>
        <n v="1571.2241450771976"/>
        <n v="2475.2927896503056"/>
        <n v="6604.853735491949"/>
        <n v="3709.9686534896964"/>
        <n v="7950.1653340819394"/>
        <n v="5274.0955879083258"/>
        <n v="8536.6250288485608"/>
        <n v="9854.9448767711056"/>
        <n v="1209.3046350737541"/>
        <n v="1226.952766178036"/>
        <n v="6020.7086834984757"/>
        <n v="8956.2082015179276"/>
        <n v="3447.7321890386474"/>
        <n v="3155.5952516018915"/>
        <n v="2420.9565129927751"/>
        <n v="2100.9882363976949"/>
        <n v="5888.2352471929626"/>
        <n v="1352.0526934966379"/>
        <n v="1987.0282667050219"/>
        <n v="2746.906716172778"/>
        <n v="2307.6017621396823"/>
        <n v="2401.1435318285539"/>
        <n v="2061.0187180081798"/>
        <n v="2454.2426018747815"/>
        <n v="2548.7079055216409"/>
        <n v="7176.6061520798585"/>
        <n v="947.10867707502916"/>
        <n v="5963.7150974382039"/>
        <n v="1173.67075229545"/>
        <n v="960.12433104994693"/>
        <n v="6559.0790802982056"/>
        <n v="1994.2073634571702"/>
        <n v="3796"/>
        <n v="2776.2148671879158"/>
        <n v="5085.6779786824254"/>
        <n v="2665.4106961633966"/>
        <n v="241.81906475335478"/>
        <n v="6258.65763374777"/>
        <n v="1475.4842000000001"/>
        <n v="1462.8006603771919"/>
        <n v="8309.4689976661575"/>
        <n v="1615.20482575397"/>
        <n v="1600.3420936169562"/>
        <n v="2321.638728882418"/>
        <n v="6856.5763078811051"/>
        <n v="3861.8475807159657"/>
        <n v="8081.2595579654899"/>
        <n v="5495.7766321699"/>
        <n v="8671.8724676784404"/>
        <n v="9366.3234423775812"/>
        <n v="913.51424034345587"/>
        <n v="940.69591617024196"/>
        <n v="6047.3233444941834"/>
        <n v="8447.5712763723095"/>
        <n v="2441.0409983642899"/>
        <n v="2373.6297456575921"/>
        <n v="2358.5774936797343"/>
        <n v="1946.657037392634"/>
        <n v="6110.3283752641528"/>
        <n v="929.47608647382606"/>
        <n v="1786.8645783228458"/>
        <n v="2243.3644599394079"/>
        <n v="2090.9836775728681"/>
        <n v="2155.8951447598479"/>
        <n v="1879.12445216932"/>
        <n v="2141.1446541393138"/>
        <n v="2143.6795672649482"/>
        <n v="7226.5683967556233"/>
        <n v="827.40585457647683"/>
        <n v="6241.2554448838837"/>
        <n v="1094.585788993639"/>
        <n v="923.11597939923445"/>
        <n v="6357.6124574016403"/>
        <n v="1198.7584589680341"/>
        <n v="3843.1718489277882"/>
        <n v="2388.8677869356443"/>
        <n v="3510.703366034486"/>
        <n v="2318.2880422565099"/>
        <n v="280.31242090000001"/>
        <n v="6469.757333333333"/>
        <n v="3025.1965005476204"/>
        <n v="2650.7934115539679"/>
        <n v="7951.8777308380941"/>
        <n v="1550"/>
        <n v="1424.7492890999999"/>
        <n v="2087.2619046933332"/>
        <n v="5609.5782800249999"/>
        <n v="3176.6266646200002"/>
        <n v="7528"/>
        <n v="4526.2076601799999"/>
        <n v="6420"/>
        <n v="8580.1081061666664"/>
        <n v="1274.5135120999998"/>
        <n v="1398.3803332031741"/>
        <n v="4860.8699335500005"/>
        <n v="7522.5016461616669"/>
        <n v="2904.3248113"/>
        <n v="2696.25"/>
        <n v="2309.2839631850002"/>
        <n v="2393.2644050900003"/>
        <n v="4701.531008476667"/>
        <n v="1442.0305215458338"/>
        <n v="1866.1824875666666"/>
        <n v="2446.1392975333338"/>
        <n v="2070.4021153999993"/>
        <n v="2229.9053413023803"/>
        <n v="2099.1050888333343"/>
        <n v="2562.9782520050003"/>
        <n v="2403.2306429"/>
        <n v="5677.3034399666667"/>
        <n v="797.35155659999998"/>
        <n v="5050.2329841699993"/>
        <n v="1035"/>
        <n v="838.55"/>
        <n v="5312.606987066667"/>
        <n v="1602.9385242761905"/>
        <n v="3099.5333333000003"/>
        <n v="2509"/>
        <n v="5156.8945057983337"/>
        <n v="2191.2178466761902"/>
        <n v="280.28966019999996"/>
        <n v="6293.4381200000007"/>
        <n v="2999.5864998833331"/>
        <n v="2633.1405965595241"/>
        <n v="7590.0523456361898"/>
        <n v="1499.7777777777781"/>
        <n v="1355.7206857000001"/>
        <n v="2012.8975687999998"/>
        <n v="5510.7806997999996"/>
        <n v="3146.5986943039998"/>
        <n v="7440"/>
        <n v="4430.9237713640005"/>
        <n v="6078.9590934666603"/>
        <n v="8147.9198292000001"/>
        <n v="1291.211846038095"/>
        <n v="1348.0026558634922"/>
        <n v="4623.3370930000001"/>
        <n v="7629.2408036000006"/>
        <n v="2850.166291"/>
        <n v="2660"/>
        <n v="2381.1662614499996"/>
        <n v="2294.641268596667"/>
        <n v="4463.4878857499989"/>
        <n v="1433.6338558749999"/>
        <n v="1766.9644546446427"/>
        <n v="2329.0871578555552"/>
        <n v="2020.136701166668"/>
        <n v="2180.1741927452381"/>
        <n v="1971.713390633334"/>
        <n v="2497.2365051729998"/>
        <n v="2365.2683059000001"/>
        <n v="5513.4867135266668"/>
        <n v="830.22466787619055"/>
        <n v="5121.731769"/>
        <n v="1030"/>
        <n v="816"/>
        <n v="5187.1887535333344"/>
        <n v="1611.5437920809522"/>
        <n v="2846.7723060666667"/>
        <n v="2369.3556247000001"/>
        <n v="5072.2318762733339"/>
        <n v="2140.4569150507941"/>
        <n v="312.8573458723987"/>
        <n v="7567.2660393536225"/>
        <n v="3149.5018260338716"/>
        <n v="2747.5511919765595"/>
        <n v="8765.606549615175"/>
        <n v="1684.8889916462945"/>
        <n v="1561.258939225399"/>
        <n v="2499.6296614017856"/>
        <n v="6573.8966338237078"/>
        <n v="3658.5518562624734"/>
        <n v="7881.0854608283644"/>
        <n v="5172.8479658818915"/>
        <n v="8467.7854761247399"/>
        <n v="9700.1297866840396"/>
        <n v="1453.4107843293179"/>
        <n v="1592.2130609328574"/>
        <n v="6008.0169364044086"/>
        <n v="8934.9931008241801"/>
        <n v="3427.2766802452088"/>
        <n v="3054.8284554297743"/>
        <n v="2688.4076493338193"/>
        <n v="2338.9153673630381"/>
        <n v="5861.0180057882326"/>
        <n v="1569.7412711633401"/>
        <n v="2114.5172237437487"/>
        <n v="2925.5142128538246"/>
        <n v="2409.9102166807947"/>
        <n v="2580.5888328266642"/>
        <n v="2257.346578421395"/>
        <n v="2693.6385380159322"/>
        <n v="2527.6847744574916"/>
        <n v="7103.0184134827477"/>
        <n v="1001.4006727323998"/>
        <n v="5900.5800962300418"/>
        <n v="1169.2873883377722"/>
        <n v="941.10697352970476"/>
        <n v="6505.0087084687202"/>
        <n v="1980.8366273279116"/>
        <n v="3760.4134168308556"/>
        <n v="2719.4942226482772"/>
        <n v="5921.5790317739784"/>
        <n v="2752.2425084031775"/>
        <n v="310.45891768448001"/>
        <n v="7552.9901697321229"/>
        <n v="3165.7850293156216"/>
        <n v="2715.8434873025885"/>
        <n v="8678.1399108889982"/>
        <n v="1679.5955238947076"/>
        <n v="1560.7239909661689"/>
        <n v="2487.478273383957"/>
        <n v="6419.8045753283795"/>
        <n v="3631.9089713579169"/>
        <n v="7863.2830489423995"/>
        <n v="5155.7539557780628"/>
        <n v="8273.465708215781"/>
        <n v="9628.1500737263195"/>
        <n v="1451.6999058081569"/>
        <n v="1586.5060481097978"/>
        <n v="5901.8167280035213"/>
        <n v="8822.5764723982084"/>
        <n v="3266.2213343903718"/>
        <n v="3039.9391120613341"/>
        <n v="2685.542817421865"/>
        <n v="2331.884811912108"/>
        <n v="5484.4084910457304"/>
        <n v="1573.1971202783284"/>
        <n v="2120.8118802055519"/>
        <n v="2764.2638722602865"/>
        <n v="2363.6807880451065"/>
        <n v="2571.7406377925327"/>
        <n v="2251.1204778370566"/>
        <n v="2691.2404303505255"/>
        <n v="2510.7564243999996"/>
        <n v="6947.7311591277366"/>
        <n v="995.92003637873927"/>
        <n v="5809.6923835513335"/>
        <n v="1166.4636376658332"/>
        <n v="939.89322092430848"/>
        <n v="6187.8279061800913"/>
        <n v="1976.011818381417"/>
        <n v="3691.5412278320996"/>
        <n v="2714.5311566162045"/>
        <n v="5831.2993019703508"/>
        <n v="2736.6434112896104"/>
        <n v="292.51553245299999"/>
        <n v="6985.2183599999989"/>
        <n v="3307.5787845942855"/>
        <n v="2900.7283281941427"/>
        <n v="8188.5987514527133"/>
        <n v="1630"/>
        <n v="1497.9306682470001"/>
        <n v="2327.1189182329072"/>
        <n v="5785.3903905254247"/>
        <n v="3424.5781312244972"/>
        <n v="7610"/>
        <n v="4917.4768723058796"/>
        <n v="6675.8345304490012"/>
        <n v="8924.127276874"/>
        <n v="1391.3382117212598"/>
        <n v="1526.7733089186099"/>
        <n v="5360.8466631901538"/>
        <n v="8361.5224815614692"/>
        <n v="3050.0957799215003"/>
        <n v="2836.38"/>
        <n v="2494.2570831131043"/>
        <n v="2457.0791166761701"/>
        <n v="5103.1626460179996"/>
        <n v="1578.8840579434989"/>
        <n v="1989.033510453"/>
        <n v="2670.3829781140003"/>
        <n v="2198.0818475690003"/>
        <n v="2370.2125069367858"/>
        <n v="2300.7501716258666"/>
        <n v="2750.9579944119237"/>
        <n v="2428"/>
        <n v="5879.6063122619998"/>
        <n v="896.82123832271429"/>
        <n v="5275.3153261826083"/>
        <n v="1103.3"/>
        <n v="899.13349999999991"/>
        <n v="5637.7840640270006"/>
        <n v="1709.8290938094572"/>
        <n v="3468.553999961"/>
        <n v="2618.63"/>
        <n v="5378.7676090418781"/>
        <n v="2349.3248806111419"/>
        <n v="308.02200000000005"/>
        <n v="7441.2792904999997"/>
        <n v="3166.0263221572063"/>
        <n v="2705.7527639468899"/>
        <n v="8540.13673165"/>
        <n v="1670.8406289874579"/>
        <n v="1556.02"/>
        <n v="2456.9489530829392"/>
        <n v="6222.8206386333723"/>
        <n v="3503.9083774594656"/>
        <n v="7780.5678559999997"/>
        <n v="5049.1688832067566"/>
        <n v="7978.4359999999988"/>
        <n v="9326.655999999999"/>
        <n v="1428.0493511824161"/>
        <n v="1551.6421335049072"/>
        <n v="5787.568913287223"/>
        <n v="8643.9346666666661"/>
        <n v="3183.3729784803372"/>
        <n v="3008.8659801599997"/>
        <n v="2711.7205159733289"/>
        <n v="2323.8419999999996"/>
        <n v="5373.5052677120011"/>
        <n v="1562.9180000000001"/>
        <n v="2128.7415104911365"/>
        <n v="2721.7041663999998"/>
        <n v="2339.0227236210135"/>
        <n v="2543.8957548964986"/>
        <n v="2243.1824935793602"/>
        <n v="2690.5043296404824"/>
        <n v="2491.0927999999999"/>
        <n v="6829.5289119557219"/>
        <n v="978.35967898999991"/>
        <n v="5633.2237793785271"/>
        <n v="1145.7487960000001"/>
        <n v="935.92075397843996"/>
        <n v="6067.912464"/>
        <n v="1965.6435087643572"/>
        <n v="3588.8660074764521"/>
        <n v="2698.1839242535762"/>
        <n v="5744.7503644573026"/>
        <n v="2714.3848197879879"/>
        <n v="250.83840515595503"/>
        <n v="6364.1724737088625"/>
        <n v="2044.1614597641383"/>
        <n v="1979.3263609714118"/>
        <n v="8434.0611426465184"/>
        <n v="1658.8423225048809"/>
        <n v="1610.3275225065033"/>
        <n v="2439.018476805054"/>
        <n v="6793.7977866080528"/>
        <n v="3827.8192645151166"/>
        <n v="8055.9995579654906"/>
        <n v="5419.6846189519028"/>
        <n v="8604.195326816709"/>
        <n v="9924.9487705742813"/>
        <n v="1062.3514545338462"/>
        <n v="1066.5849023390181"/>
        <n v="6101.2630025514763"/>
        <n v="8638.0420383760465"/>
        <n v="3203.8104490495243"/>
        <n v="2790.6297456575921"/>
        <n v="2283.5113118407071"/>
        <n v="1976.0518442679822"/>
        <n v="6309.3068629544887"/>
        <n v="1164.9735949494379"/>
        <n v="1972.8564494419556"/>
        <n v="2625.3175272444"/>
        <n v="2269.5569571853785"/>
        <n v="2359.8095249465637"/>
        <n v="1879.2863525083092"/>
        <n v="2170.4101751513781"/>
        <n v="2638.7995672649481"/>
        <n v="7065.6777172623497"/>
        <n v="895.80726130481798"/>
        <n v="6260.317219107822"/>
        <n v="1111.6472825878773"/>
        <n v="945.33244112552256"/>
        <n v="6627.1648080011237"/>
        <n v="1763.839437336746"/>
        <n v="3751.5098306828963"/>
        <n v="2664.6360147859241"/>
        <n v="4331.7095419115849"/>
        <n v="2480.4814726995401"/>
        <n v="271.6457979006226"/>
        <n v="6453.2163700796937"/>
        <n v="2105.9434597641384"/>
        <n v="1991.9063609714121"/>
        <n v="8364.9460432485685"/>
        <n v="1649.9346155961321"/>
        <n v="1582.31133619398"/>
        <n v="2426.1242774457401"/>
        <n v="6760.1018196789082"/>
        <n v="3778.5123100246856"/>
        <n v="7946.4052748263293"/>
        <n v="5365.6943937836959"/>
        <n v="8559.2955698322585"/>
        <n v="9997.442491660524"/>
        <n v="1066.8514545338462"/>
        <n v="1093.0849023390181"/>
        <n v="6055.3099277455603"/>
        <n v="8450.4110532527229"/>
        <n v="3088.0271181023863"/>
        <n v="2735.4966093104117"/>
        <n v="2175.7395849885402"/>
        <n v="2078.9486816808981"/>
        <n v="6030.6195685167986"/>
        <n v="1177.1072047980679"/>
        <n v="1950.8814524364657"/>
        <n v="2617.875914016648"/>
        <n v="2237.5696683453102"/>
        <n v="2343.6989787272141"/>
        <n v="1909.000719508294"/>
        <n v="2192.2780463673198"/>
        <n v="2605.0570167130682"/>
        <n v="6857.6319754144697"/>
        <n v="899.14695456114134"/>
        <n v="5994.6075203921328"/>
        <n v="1101.376079401161"/>
        <n v="936.75445667694783"/>
        <n v="6541.6010336928794"/>
        <n v="1807.9209507032222"/>
        <n v="3515.4808870290262"/>
        <n v="2541.0502597982982"/>
        <n v="4278.2253227705141"/>
        <n v="2439.1745403726341"/>
        <n v="268.8533333333333"/>
        <n v="6591.380266666667"/>
        <n v="2241.4803333881459"/>
        <n v="2057.0216257236743"/>
        <n v="8673.7756240490089"/>
        <n v="1689.1727769606096"/>
        <n v="1590.4241992191678"/>
        <n v="2448.3479803430623"/>
        <n v="6668.5734468430865"/>
        <n v="3731.5398898997141"/>
        <n v="8001.4091986996918"/>
        <n v="5330.8856759911432"/>
        <n v="8558.1899012426293"/>
        <n v="9778.7759553078176"/>
        <n v="1223.7733607641999"/>
        <n v="1244.5601552179983"/>
        <n v="6039.0267772370262"/>
        <n v="8995.0839787105397"/>
        <n v="3481.1695125253696"/>
        <n v="3191.6335285257351"/>
        <n v="2401.36424447736"/>
        <n v="2092.229460943543"/>
        <n v="5908.1673520451095"/>
        <n v="1247.600276074596"/>
        <n v="1983.4198258252218"/>
        <n v="2733.1439018691499"/>
        <n v="2350.0521510206399"/>
        <n v="2457.6184952695071"/>
        <n v="2029.484527815704"/>
        <n v="2406.5965122026437"/>
        <n v="2679.7370167130671"/>
        <n v="7250.1298825230042"/>
        <n v="928.02421110781506"/>
        <n v="5974.1027442418226"/>
        <n v="1179.007430833334"/>
        <n v="965.18106230552644"/>
        <n v="6629.9060495378799"/>
        <n v="2004.8801006595459"/>
        <n v="3847.5333333333342"/>
        <n v="2807.9809999999989"/>
        <n v="5087.9366666666683"/>
        <n v="2647.340220304457"/>
      </sharedItems>
    </cacheField>
    <cacheField name="South South" numFmtId="0">
      <sharedItems containsString="0" containsBlank="1" containsNumber="1" minValue="238.13604056906351" maxValue="8271.0190638593667" count="504">
        <n v="264.52500000000003"/>
        <n v="6306.79"/>
        <n v="2502.146666666667"/>
        <n v="2329.3616666666667"/>
        <n v="6594.5021367521367"/>
        <n v="1740.0333333333335"/>
        <n v="1700.11"/>
        <n v="2478.4070209614952"/>
        <n v="5661.2294444444451"/>
        <n v="3858.47"/>
        <n v="5555"/>
        <n v="5084.086666666667"/>
        <n v="4937.0183333333343"/>
        <n v="5771.0076984126981"/>
        <n v="1275.7337878787882"/>
        <n v="1332.56"/>
        <n v="5041.6354273504267"/>
        <n v="7360.041666666667"/>
        <n v="3669.7733333333331"/>
        <n v="2733.0349999999999"/>
        <n v="2178.6133333333332"/>
        <n v="3191.6933333333332"/>
        <n v="4953.211666666667"/>
        <n v="1428.0885507246385"/>
        <n v="2273.7199999999998"/>
        <n v="2468.2533333333336"/>
        <n v="2103.1419590643277"/>
        <n v="2438.1783333333333"/>
        <n v="2224.875"/>
        <n v="2735.1733333333336"/>
        <n v="2480.1783333333333"/>
        <n v="6434.9750000000013"/>
        <n v="1487.0316666666668"/>
        <n v="5354.1316666666671"/>
        <n v="980.625"/>
        <n v="938.68999999999994"/>
        <n v="5554.3183333333336"/>
        <n v="1285.1366666666665"/>
        <n v="3658.4716666666668"/>
        <n v="2598.4516666666664"/>
        <n v="3916.4983333333334"/>
        <n v="2505.61"/>
        <m/>
        <n v="261.78567460317464"/>
        <n v="6177.0345634920632"/>
        <n v="2044.7487726412403"/>
        <n v="1885.9889938734043"/>
        <n v="7091.0368123663366"/>
        <n v="1671.6666666666667"/>
        <n v="1683.6497023809534"/>
        <n v="2378.7018052560502"/>
        <n v="5925.3955644433163"/>
        <n v="4288.4306713700817"/>
        <n v="5751.2947167710299"/>
        <n v="5421.1161079202639"/>
        <n v="7302.7098300243306"/>
        <n v="6499.7647466289563"/>
        <n v="1036.9211399550552"/>
        <n v="1043.5963241811385"/>
        <n v="5896.1400948035307"/>
        <n v="7388.2356214052497"/>
        <n v="3830.9689820833332"/>
        <n v="2575.234115079365"/>
        <n v="2173.3490047017863"/>
        <n v="3272.352039584161"/>
        <n v="5376.6250112551061"/>
        <n v="1215.7970470632863"/>
        <n v="1713.0466669742218"/>
        <n v="2427.5588293650799"/>
        <n v="2207.1820818573087"/>
        <n v="2163.2992422115162"/>
        <n v="1850.6389941296063"/>
        <n v="2409.030215797789"/>
        <n v="2672.9441111111114"/>
        <n v="6996.8224355474022"/>
        <n v="1431.1046809798684"/>
        <n v="5860.9100590163289"/>
        <n v="1107.4883333333328"/>
        <n v="1002.1637579365084"/>
        <n v="5996.2432312155834"/>
        <n v="1522.1472180451949"/>
        <n v="3740.2241944444449"/>
        <n v="2379.987174603174"/>
        <n v="3839.5272777777768"/>
        <n v="2469.0589397015351"/>
        <n v="238.13604056906351"/>
        <n v="5833.9507148060438"/>
        <n v="1704.6565691445248"/>
        <n v="1668.9180419757033"/>
        <n v="7200.4553547531614"/>
        <n v="1693.3333333333333"/>
        <n v="1667.1515661685701"/>
        <n v="2474.2666630928447"/>
        <n v="5908.4399017516434"/>
        <n v="4304.3885509048041"/>
        <n v="5805.6702114423288"/>
        <n v="5444.3260634964054"/>
        <n v="7095.4518111006837"/>
        <n v="6670.8537020852773"/>
        <n v="934.34800068874495"/>
        <n v="891.9726936835583"/>
        <n v="6000.4091204809483"/>
        <n v="7312.1349580351352"/>
        <n v="3708.9575451718797"/>
        <n v="2574.5308111915115"/>
        <n v="2603.7633523008267"/>
        <n v="2917.047556690382"/>
        <n v="5475.3682574124505"/>
        <n v="1050.6984914919949"/>
        <n v="1270.3118004852217"/>
        <n v="2356.9986485544728"/>
        <n v="2207.6253048075482"/>
        <n v="2217.2639684043584"/>
        <n v="1831.1913155543016"/>
        <n v="2255.6003483847617"/>
        <n v="2642.7977777777783"/>
        <n v="6758.8052913388419"/>
        <n v="1147.02775223455"/>
        <n v="5812.9268513987108"/>
        <n v="1135.4480456349199"/>
        <n v="991.57383369258014"/>
        <n v="6026.0098715483764"/>
        <n v="1310.2674751877"/>
        <n v="3698.3435228174603"/>
        <n v="2387.0256272732149"/>
        <n v="3732.1577726722221"/>
        <n v="2493.2421271267167"/>
        <n v="259.3452380833333"/>
        <n v="5912.0357142499997"/>
        <n v="2667.5711122499997"/>
        <n v="2514.7558922976182"/>
        <n v="6435.2477354305529"/>
        <n v="1675.7275131944443"/>
        <n v="1746.6746031666669"/>
        <n v="2256.0606060833334"/>
        <n v="5537.6796252916656"/>
        <n v="3788.09027775"/>
        <n v="5420"/>
        <n v="4984.0029761666665"/>
        <n v="4818.333333333333"/>
        <n v="5455.1717677777779"/>
        <n v="1211.613562"/>
        <n v="1313.4217525277784"/>
        <n v="4808.333333333333"/>
        <n v="7382.8635602916665"/>
        <n v="3509.880952333333"/>
        <n v="2616.3690475833332"/>
        <n v="2076.1471645833331"/>
        <n v="3219.3630251249997"/>
        <n v="4812.3144034166662"/>
        <n v="1385.8403859166665"/>
        <n v="2310.3249186166672"/>
        <n v="2422.142857166667"/>
        <n v="1939.8056599444444"/>
        <n v="2337.6453898333334"/>
        <n v="2203.9393939166671"/>
        <n v="2660.0649350833332"/>
        <n v="2236.25"/>
        <n v="6026.9619200416664"/>
        <n v="1426.232080202778"/>
        <n v="4888.1707810833332"/>
        <n v="963.6904761666666"/>
        <n v="945.1904761666666"/>
        <n v="5325.1920470277792"/>
        <n v="1172.9019788666667"/>
        <n v="3585.7738095"/>
        <n v="2469.0476190833333"/>
        <n v="3780.6547618333329"/>
        <n v="2278.0480811666671"/>
        <n v="257.5"/>
        <n v="5992.916666666667"/>
        <n v="2690.4450377333333"/>
        <n v="2566.4797560773818"/>
        <n v="6417.1633269513904"/>
        <n v="1692.0138888888889"/>
        <n v="2253.7878787499999"/>
        <n v="5455.3931623125"/>
        <n v="3767.1666666666665"/>
        <n v="5381.333333333333"/>
        <n v="4847.2222222222217"/>
        <n v="4683.333333333333"/>
        <n v="5575.8237134166666"/>
        <n v="1224.5129446000001"/>
        <n v="1303.17884725"/>
        <n v="4650"/>
        <n v="7025.8782591249992"/>
        <n v="3498.6111111111113"/>
        <n v="2761.6666666666665"/>
        <n v="2051.9654088333332"/>
        <n v="3157.6731600416665"/>
        <n v="4768.2142857500003"/>
        <n v="1387.8421900833334"/>
        <n v="2359.9305555555561"/>
        <n v="2435.0694444166666"/>
        <n v="1992.3482528472223"/>
        <n v="2342.5269274702387"/>
        <n v="2271.3275613611113"/>
        <n v="2626.5800866249997"/>
        <n v="2252.0833333333335"/>
        <n v="6190.4840068333333"/>
        <n v="1500.5392967361115"/>
        <n v="4805"/>
        <n v="943.75"/>
        <n v="970"/>
        <n v="5248.5069443055545"/>
        <n v="1208.33730159127"/>
        <n v="3500"/>
        <n v="2362.75"/>
        <n v="3796.875"/>
        <n v="2248.6472462500001"/>
        <n v="276.80006018917345"/>
        <n v="6339.0399526094143"/>
        <n v="2229.7554724275683"/>
        <n v="2028.6616391267551"/>
        <n v="7103.9321221363343"/>
        <n v="1674.1666666666667"/>
        <n v="1705.6957136944432"/>
        <n v="2380.574334134893"/>
        <n v="5942.4219392050036"/>
        <n v="4104.4989184441156"/>
        <n v="5676.2947167710299"/>
        <n v="5295.9360659728018"/>
        <n v="8271.0190638593667"/>
        <n v="6435.5568388953425"/>
        <n v="1136.4609016801485"/>
        <n v="1193.3944053255084"/>
        <n v="5660.7837880517618"/>
        <n v="7455.2639240351973"/>
        <n v="3800.0604071890666"/>
        <n v="2618.0995158781379"/>
        <n v="2335.6804213795408"/>
        <n v="3276.9479464000547"/>
        <n v="5242.0258830589346"/>
        <n v="1406.0226037280861"/>
        <n v="1807.6547970539602"/>
        <n v="2487.8367527437072"/>
        <n v="2133.0938799403189"/>
        <n v="2179.6727048137818"/>
        <n v="1917.6343488916791"/>
        <n v="3097.35857752934"/>
        <n v="2618.1732601966792"/>
        <n v="7035.8164343889266"/>
        <n v="1533.1598634727168"/>
        <n v="5927.1920819489496"/>
        <n v="1099.4094374120368"/>
        <n v="1021.0434776396984"/>
        <n v="5981.9943931923253"/>
        <n v="1522.5770968787699"/>
        <n v="3776.9256737181331"/>
        <n v="2486.231258797025"/>
        <n v="3898.1517063050001"/>
        <n v="3290.0840058376848"/>
        <n v="274.37168688361834"/>
        <n v="6360.3018770052704"/>
        <n v="2216.8097878841231"/>
        <n v="2049.0577459792912"/>
        <n v="6996.6494559208259"/>
        <n v="1662.5"/>
        <n v="1698.2824514722222"/>
        <n v="2299.8401113733848"/>
        <n v="5871.5222496176148"/>
        <n v="4057.3530148884961"/>
        <n v="5711.5913511481886"/>
        <n v="5240.1715196500118"/>
        <n v="7579.8788743576742"/>
        <n v="6398.3179189358752"/>
        <n v="1181.4017665017334"/>
        <n v="1226.1647283534182"/>
        <n v="5588.3368595812508"/>
        <n v="7395.5052366552927"/>
        <n v="3773.3133124999999"/>
        <n v="2643.4622167080233"/>
        <n v="2296.544718767836"/>
        <n v="3259.5754013694918"/>
        <n v="5145.340744752687"/>
        <n v="1435.0923177442401"/>
        <n v="1911.2379602529616"/>
        <n v="2475.8583035997108"/>
        <n v="2134.5730093752018"/>
        <n v="2230.1858471412334"/>
        <n v="1948.7507701509646"/>
        <n v="2979.3416570011536"/>
        <n v="2594.7762500000003"/>
        <n v="6801.3813664984691"/>
        <n v="1536.3496024494725"/>
        <n v="5796.9252140407661"/>
        <n v="1089.8299999999992"/>
        <n v="975.612003939445"/>
        <n v="5899.247619575669"/>
        <n v="1526.2240237905942"/>
        <n v="3750.9264583333329"/>
        <n v="2479.4343254602568"/>
        <n v="3904.8317063049999"/>
        <n v="2944.0942081571302"/>
        <n v="267.44226189083332"/>
        <n v="6120.8273809425"/>
        <n v="2616.5363181058333"/>
        <n v="2523.1096995633329"/>
        <n v="6634.0850885497903"/>
        <n v="1743.6441798611111"/>
        <n v="1769.1746031666669"/>
        <n v="2463.0725108316669"/>
        <n v="5608.3278500775004"/>
        <n v="3869.79340275"/>
        <n v="5523.333333333333"/>
        <n v="5050.408482115"/>
        <n v="4925"/>
        <n v="5666.263037615"/>
        <n v="1256.2075014043833"/>
        <n v="1314.7855109456502"/>
        <n v="4965"/>
        <n v="7980.3187517875003"/>
        <n v="3595.4940475633339"/>
        <n v="2633.0357142500002"/>
        <n v="2225.4400496208332"/>
        <n v="3273.7789953516663"/>
        <n v="4840.2310700833332"/>
        <n v="1406.5412715716666"/>
        <n v="2393.6118295966667"/>
        <n v="2485.4428571666667"/>
        <n v="2092.2289172120832"/>
        <n v="2409.4774004186906"/>
        <n v="2354.6834751872725"/>
        <n v="2795.9588744166667"/>
        <n v="2393.955357115"/>
        <n v="6285.3657133866664"/>
        <n v="1519.6984968543331"/>
        <n v="5243.1521020325008"/>
        <n v="1017.2738094966667"/>
        <n v="981.86214283333322"/>
        <n v="5395.9093015740646"/>
        <n v="1186.2878357464999"/>
        <n v="3714.357142833333"/>
        <n v="2649.702380994167"/>
        <n v="3916.0595237300004"/>
        <n v="2479.9780750759724"/>
        <n v="269.05254363157218"/>
        <n v="6297.5433730350951"/>
        <n v="2269.0691038599616"/>
        <n v="2120.5972357872333"/>
        <n v="6894.3412833364127"/>
        <n v="1706.6666666666667"/>
        <n v="1665.3324514722224"/>
        <n v="2337.6165611052547"/>
        <n v="5758.7054753266157"/>
        <n v="3940.6527104656634"/>
        <n v="5640"/>
        <n v="5141.9891071044149"/>
        <n v="6884.7541423632865"/>
        <n v="5876.2196624351054"/>
        <n v="1188.8661974466866"/>
        <n v="1226.550594668355"/>
        <n v="5441.4547622432165"/>
        <n v="7452.0580520456833"/>
        <n v="3758.5511210211807"/>
        <n v="2749.7470238041665"/>
        <n v="2399.0435226151876"/>
        <n v="3255.2402217625204"/>
        <n v="5038.3948243226978"/>
        <n v="1452.2266373946557"/>
        <n v="2262.1233281190771"/>
        <n v="2505.2654762233333"/>
        <n v="2124.6040454814388"/>
        <n v="2371.5852701858098"/>
        <n v="2011.6348877585515"/>
        <n v="2832.8995046072164"/>
        <n v="2521.2172618916666"/>
        <n v="6555.7296860486958"/>
        <n v="1555.7556128746289"/>
        <n v="5531.0727746952471"/>
        <n v="1064.2708333333333"/>
        <n v="948.94841267222228"/>
        <n v="5629.2912246093183"/>
        <n v="1496.9625670840785"/>
        <n v="3800"/>
        <n v="2500.699007994172"/>
        <n v="3914.3692063004164"/>
        <n v="2702.661425200808"/>
        <n v="244.80270723573017"/>
        <n v="5892.7068779530427"/>
        <n v="1975.3232358112"/>
        <n v="1836.4180419757033"/>
        <n v="7136.2886880864944"/>
        <n v="1704.8333333333333"/>
        <n v="1682.8182328352368"/>
        <n v="2427.7666630928447"/>
        <n v="5937.7732350849765"/>
        <n v="4291.0552175714702"/>
        <n v="5833.5035447756627"/>
        <n v="5506.8260634964054"/>
        <n v="7110.4518111006837"/>
        <n v="6712.0203687519434"/>
        <n v="974.86289433478339"/>
        <n v="923.40957295267833"/>
        <n v="5934.1851540485322"/>
        <n v="7388.6349580351352"/>
        <n v="3918.6242118385467"/>
        <n v="2578.6974778581784"/>
        <n v="2137.9300189674932"/>
        <n v="3185.880890023715"/>
        <n v="5474.2015907457835"/>
        <n v="1100.5318248253282"/>
        <n v="1586.4784671518885"/>
        <n v="2397.9986485544728"/>
        <n v="2227.4586381408812"/>
        <n v="2305.0973017376919"/>
        <n v="1834.5246488876348"/>
        <n v="2324.2670150514282"/>
        <n v="2715.7977777777783"/>
        <n v="6952.4719580055089"/>
        <n v="1340.02775223455"/>
        <n v="5836.0935180653769"/>
        <n v="1152.2813789682532"/>
        <n v="987.90716702591351"/>
        <n v="6096.6765382150434"/>
        <n v="1568.2674751877"/>
        <n v="3750.5101894841268"/>
        <n v="2476.0256272732149"/>
        <n v="3750.6577726722221"/>
        <n v="2477.2421271267167"/>
        <n v="246.61326190476186"/>
        <n v="5896.8667628968251"/>
        <n v="2003.6901171530883"/>
        <n v="1865.8105379349647"/>
        <n v="7126.9428188859501"/>
        <n v="1698.6666666666667"/>
        <n v="1674.6324466269832"/>
        <n v="2422.1976211215347"/>
        <n v="5937.1021414621282"/>
        <n v="4273.7017506741931"/>
        <n v="5822.7780501043635"/>
        <n v="5492.9890636312994"/>
        <n v="7140.3597553697809"/>
        <n v="6688.4192403913048"/>
        <n v="980.4412380832772"/>
        <n v="939.96136355106466"/>
        <n v="5913.3901649478394"/>
        <n v="7376.1106404384373"/>
        <n v="3900.0001820833331"/>
        <n v="2560.7923194841283"/>
        <n v="2121.6998216321804"/>
        <n v="3295.1389668355409"/>
        <n v="5462.9128484001585"/>
        <n v="1114.3043008602206"/>
        <n v="1647.4735404841349"/>
        <n v="2390.7372976190468"/>
        <n v="2228.283361099137"/>
        <n v="2301.0161047968336"/>
        <n v="1836.8703054619937"/>
        <n v="2353.7935010281667"/>
        <n v="2708.9214555555559"/>
        <n v="6944.2764856924332"/>
        <n v="1391.9478417016351"/>
        <n v="5830.542034921863"/>
        <n v="1138.9121289682532"/>
        <n v="981.16749130952337"/>
        <n v="6091.5257502993518"/>
        <n v="1592.8931748403668"/>
        <n v="3741.6462772619052"/>
        <n v="2464.7506382539677"/>
        <n v="3740.0987738888884"/>
        <n v="2467.5850186167668"/>
        <n v="248.40924801587303"/>
        <n v="5880.3967628968248"/>
        <n v="2011.4267838197602"/>
        <n v="1871.2438712682986"/>
        <n v="7134.3594855526171"/>
        <n v="1693.8333333333333"/>
        <n v="1672.15411329365"/>
        <n v="2419.7326211215345"/>
        <n v="5931.8521414621382"/>
        <n v="4270.235084007526"/>
        <n v="5822.7947167710299"/>
        <n v="5489.6273969646327"/>
        <n v="7135.7764220364488"/>
        <n v="6686.9542403913047"/>
        <n v="977.55790474994376"/>
        <n v="944.5613635510648"/>
        <n v="5914.005998281179"/>
        <n v="7371.2639737717718"/>
        <n v="3885.836502083333"/>
        <n v="2558.0423194841283"/>
        <n v="2118.7181549655133"/>
        <n v="3294.1906335022081"/>
        <n v="5447.2978484001578"/>
        <n v="1113.4059675268879"/>
        <n v="1651.3418738174678"/>
        <n v="2392.6372976190473"/>
        <n v="2226.86669443247"/>
        <n v="2301.266104796834"/>
        <n v="1838.2386387953266"/>
        <n v="2356.1301676948328"/>
        <n v="2708.1214555555557"/>
        <n v="6942.1598190257673"/>
        <n v="1393.9995083683009"/>
        <n v="5828.7287015885304"/>
        <n v="1133.57879563492"/>
        <n v="979.70082464285679"/>
        <n v="6086.9424169660169"/>
        <n v="1593.0931748403675"/>
        <n v="3737.512943928572"/>
        <n v="2463.0006382539673"/>
        <n v="3788.993773888888"/>
        <n v="2464.1533519500995"/>
      </sharedItems>
    </cacheField>
    <cacheField name="South West" numFmtId="0">
      <sharedItems containsString="0" containsBlank="1" containsNumber="1" minValue="241.73817897308334" maxValue="12300.588467678064" count="498">
        <n v="258.16666666666669"/>
        <n v="6366.666666666667"/>
        <n v="2336.6666666666665"/>
        <n v="2030"/>
        <n v="6415.0757576016667"/>
        <n v="1661.6527777777781"/>
        <n v="1371.5208333333333"/>
        <n v="2229.4684396720836"/>
        <n v="5308.0030839212968"/>
        <n v="4376.3380952566667"/>
        <n v="5566.666666666667"/>
        <n v="5287.3511904375"/>
        <n v="6515.1140776666662"/>
        <n v="5508.5"/>
        <n v="1126.5610527330589"/>
        <n v="1271.8333333333333"/>
        <n v="4971.666666666667"/>
        <n v="6950"/>
        <n v="3716.6666666666665"/>
        <n v="2433.3333333333335"/>
        <n v="2211.6666666666665"/>
        <n v="3150"/>
        <n v="4405"/>
        <n v="1225"/>
        <n v="1199.1666666666667"/>
        <n v="2833.3333333333335"/>
        <n v="1983.3333333333333"/>
        <n v="2166.6666666666665"/>
        <n v="2083.3333333333335"/>
        <n v="2400"/>
        <n v="2046.6666666666667"/>
        <n v="5838.333333333333"/>
        <n v="687.5"/>
        <n v="5305"/>
        <n v="958.33333333333337"/>
        <n v="835"/>
        <n v="5081.666666666667"/>
        <n v="1395"/>
        <n v="3816.6666666666665"/>
        <n v="2020.5"/>
        <n v="3683.3333333333335"/>
        <n v="2193.3333333333335"/>
        <m/>
        <n v="248.71244345238097"/>
        <n v="5944.3154543650789"/>
        <n v="2140.4615655150883"/>
        <n v="1727.5992362058162"/>
        <n v="6521.8401942542514"/>
        <n v="1725"/>
        <n v="1396.9046182539685"/>
        <n v="2124.448190158756"/>
        <n v="5665"/>
        <n v="4803.4069270636128"/>
        <n v="5725"/>
        <n v="5520.0858038720544"/>
        <n v="9947.1094869460776"/>
        <n v="6723.7465550664174"/>
        <n v="930.81943809447785"/>
        <n v="1094.4634312068895"/>
        <n v="6722.1076692123343"/>
        <n v="7249.8325069109314"/>
        <n v="3332.967356944444"/>
        <n v="2686.448095238095"/>
        <n v="1798.1598503269481"/>
        <n v="2802.9973928680752"/>
        <n v="5108.2881248990416"/>
        <n v="888.25483878638863"/>
        <n v="1259.361013218225"/>
        <n v="2699.5287787698417"/>
        <n v="2255.0726452876593"/>
        <n v="2215.4873449575407"/>
        <n v="1977.1386220459001"/>
        <n v="2257.6446241890335"/>
        <n v="2261.7880722222217"/>
        <n v="6235.7353894844682"/>
        <n v="900.76533148253463"/>
        <n v="6056.1502400426734"/>
        <n v="1058.8392624999999"/>
        <n v="909.05746666666664"/>
        <n v="5925.6231485807957"/>
        <n v="1355.6876077866029"/>
        <n v="3051.7314201388895"/>
        <n v="2307.1801777777778"/>
        <n v="3495.259526587301"/>
        <n v="1929.9311378323393"/>
        <n v="241.73817897308334"/>
        <n v="5861.7921829571351"/>
        <n v="1697.503033545695"/>
        <n v="1509.66659440691"/>
        <n v="6540.4686498727933"/>
        <n v="1743.7604723333334"/>
        <n v="1408.6666666666667"/>
        <n v="2216.1666666666665"/>
        <n v="5752.5"/>
        <n v="4920.833333333333"/>
        <n v="5795.833333333333"/>
        <n v="5585.5337271402932"/>
        <n v="9735.8588784559342"/>
        <n v="6831.735970696358"/>
        <n v="808.33333333333337"/>
        <n v="989.16666666666663"/>
        <n v="6662.1816093511161"/>
        <n v="7234.0821537738884"/>
        <n v="3223.4980152512503"/>
        <n v="2724.3858361625003"/>
        <n v="2275.9121849460748"/>
        <n v="2586.6864363383334"/>
        <n v="5211.4822649999996"/>
        <n v="777.35197243229504"/>
        <n v="1162.4132606842134"/>
        <n v="2592.3747551933216"/>
        <n v="2199.4526982443235"/>
        <n v="2147.8293412650969"/>
        <n v="1939.3646643076165"/>
        <n v="2200.9336349805549"/>
        <n v="2235.9499902777784"/>
        <n v="6290.5"/>
        <n v="689.53153514955159"/>
        <n v="6054.1039520789209"/>
        <n v="1054.9399441666667"/>
        <n v="904.84273637333342"/>
        <n v="5934.3313400104353"/>
        <n v="1188.7462368461333"/>
        <n v="3023.9778807176467"/>
        <n v="2385.3854102481614"/>
        <n v="3604.0368679030548"/>
        <n v="1885.7069022385915"/>
        <n v="257.5"/>
        <n v="6055.208333333333"/>
        <n v="2327.9352488564814"/>
        <n v="1997.453963424603"/>
        <n v="6253.0015343333334"/>
        <n v="1621.7592592592591"/>
        <n v="1314.872685185185"/>
        <n v="2080.0709219479163"/>
        <n v="5018.1250000000009"/>
        <n v="4142.4206349444439"/>
        <n v="5536.666666666667"/>
        <n v="5041.0052909722217"/>
        <n v="6164.0388183611103"/>
        <n v="5376.666666666667"/>
        <n v="1030.2171591488097"/>
        <n v="1165.5075138611112"/>
        <n v="4846.666666666667"/>
        <n v="6788.3816527430563"/>
        <n v="3503.2777777777774"/>
        <n v="2340.3333333333335"/>
        <n v="2092.1787517569446"/>
        <n v="3488.0952380833332"/>
        <n v="4254.4360097083336"/>
        <n v="1187.0087598541666"/>
        <n v="1139.4079294999999"/>
        <n v="2706.034188034188"/>
        <n v="1838.9286305110718"/>
        <n v="1819.1059822037039"/>
        <n v="2000.0973782777776"/>
        <n v="2418.6733101041664"/>
        <n v="1904.6180555555557"/>
        <n v="5566.0767569861118"/>
        <n v="601.21165599801589"/>
        <n v="5120.4594017499994"/>
        <n v="883.96990740740739"/>
        <n v="789.0625"/>
        <n v="4812.942888656481"/>
        <n v="1351.2950938055551"/>
        <n v="3589.3124999444444"/>
        <n v="1924.1666666666667"/>
        <n v="3443.2291666666665"/>
        <n v="1939.025100111111"/>
        <n v="250.83333333333334"/>
        <n v="5900"/>
        <n v="2382.2157781249998"/>
        <n v="1977.2817460317463"/>
        <n v="6255.6967534166661"/>
        <n v="1618.9814814814815"/>
        <n v="1318.5185185185182"/>
        <n v="1964.7916666666667"/>
        <n v="4971.6248506759266"/>
        <n v="4232.2222222222217"/>
        <n v="5550"/>
        <n v="4950.9259259166665"/>
        <n v="5980.4135224583333"/>
        <n v="5275"/>
        <n v="1016.5416065396824"/>
        <n v="1140.4329467499999"/>
        <n v="4700"/>
        <n v="6820.9754554097226"/>
        <n v="3386.6111111111109"/>
        <n v="2322.9166666666665"/>
        <n v="2198.6111111111113"/>
        <n v="3438.061085095238"/>
        <n v="4350.1719576203704"/>
        <n v="1212.0629852916666"/>
        <n v="1143.2870370277783"/>
        <n v="2702.700854700855"/>
        <n v="1802.872875024759"/>
        <n v="1894.9377528981483"/>
        <n v="2080.8451451611113"/>
        <n v="2422.4681714166668"/>
        <n v="1924.7222222222224"/>
        <n v="5618.3333333500004"/>
        <n v="635.44935567063487"/>
        <n v="5037.3091083571426"/>
        <n v="921.61680911680924"/>
        <n v="819.35185185185185"/>
        <n v="4704.344310403133"/>
        <n v="1316.0256409861115"/>
        <n v="3612.2916666111109"/>
        <n v="1829.1666666666667"/>
        <n v="3382.9761904761908"/>
        <n v="1960.2417749722226"/>
        <n v="263.83333333333331"/>
        <n v="6800.7847111513502"/>
        <n v="2257.7852226934347"/>
        <n v="1849.1939202978347"/>
        <n v="6488.7127933599504"/>
        <n v="1665.8333333333333"/>
        <n v="1401.5178388888883"/>
        <n v="2188.6006392599415"/>
        <n v="5585.9508853296347"/>
        <n v="4769.4128064094393"/>
        <n v="5707.166666666667"/>
        <n v="5475.6006440013289"/>
        <n v="12300.588467678064"/>
        <n v="6946.4908454121796"/>
        <n v="1114.3691646562568"/>
        <n v="1312.9405110577734"/>
        <n v="6674.1898764246662"/>
        <n v="7239.8299160592542"/>
        <n v="3407.2696287062668"/>
        <n v="2869.7605580952386"/>
        <n v="2129.7673474056951"/>
        <n v="3136.56137166485"/>
        <n v="4961.6566747055449"/>
        <n v="1065.655703444093"/>
        <n v="1676.3352296007167"/>
        <n v="2758.6249565764952"/>
        <n v="2224.2039197471436"/>
        <n v="2247.4154750333769"/>
        <n v="2042.3639064420565"/>
        <n v="2349.2633031896548"/>
        <n v="2173.8309887931719"/>
        <n v="6590.5396209179826"/>
        <n v="1297.1380462016712"/>
        <n v="6035.3268679563917"/>
        <n v="1089.0619512284768"/>
        <n v="960.87934692370163"/>
        <n v="5911.9886236407101"/>
        <n v="1600.2680141309436"/>
        <n v="3459.7684329166045"/>
        <n v="2334.9931862698418"/>
        <n v="3807.7484529966619"/>
        <n v="2337.6420301712437"/>
        <n v="267.53311825396827"/>
        <n v="6481.8666666666659"/>
        <n v="2215.29875892769"/>
        <n v="1841.3393360604139"/>
        <n v="6490.3105144331566"/>
        <n v="1643.3333333333333"/>
        <n v="1393.7817460317456"/>
        <n v="2163.6711602306591"/>
        <n v="5547.427528110592"/>
        <n v="4715.1604548374917"/>
        <n v="5680"/>
        <n v="5456.4417513845137"/>
        <n v="10619.343319642494"/>
        <n v="6798.6640346481727"/>
        <n v="1140.2181040956505"/>
        <n v="1344.9526757605638"/>
        <n v="6565.0839021199199"/>
        <n v="7198.1131708732501"/>
        <n v="3492.2798615079359"/>
        <n v="2754.6742785714282"/>
        <n v="2205.8125456041457"/>
        <n v="3109.8947049981848"/>
        <n v="4809.0450155882309"/>
        <n v="1065.9242633734748"/>
        <n v="1637.4029591134886"/>
        <n v="2605.7575615079363"/>
        <n v="2115.810926927245"/>
        <n v="2170.6590113835914"/>
        <n v="2038.318678457181"/>
        <n v="2328.5917054153692"/>
        <n v="2134.934920634922"/>
        <n v="6557.3501371854773"/>
        <n v="1169.6070055670339"/>
        <n v="6010.6782684661275"/>
        <n v="1056.7612301587303"/>
        <n v="928.44976984126981"/>
        <n v="5815.6082401641461"/>
        <n v="1654.3022569292091"/>
        <n v="3524.2121825396821"/>
        <n v="2306.4878571428576"/>
        <n v="3792.296948897816"/>
        <n v="2464.9638700888577"/>
        <n v="268.66666666666669"/>
        <n v="6432.708333333333"/>
        <n v="2466.6377561411578"/>
        <n v="2040.671434825972"/>
        <n v="5304.017857104167"/>
        <n v="6504.2509043701393"/>
        <n v="5496.0459183374996"/>
        <n v="1131.7212057790341"/>
        <n v="1296.4849754760721"/>
        <n v="4926.666666666667"/>
        <n v="7055.0651967365266"/>
        <n v="3719.0699999999997"/>
        <n v="2438.3333333333335"/>
        <n v="2201.9573683656249"/>
        <n v="3593.3333333333335"/>
        <n v="4476.3752639466666"/>
        <n v="1311.375542699765"/>
        <n v="1161.5079365497218"/>
        <n v="2972.5933333333328"/>
        <n v="1888.3608073962032"/>
        <n v="1951.3292793122557"/>
        <n v="2126.6578113832406"/>
        <n v="2489.9835700449999"/>
        <n v="2010.7708333333333"/>
        <n v="5854.2870322059716"/>
        <n v="667.74257168359077"/>
        <n v="5276.3472222843047"/>
        <n v="963.64583333333337"/>
        <n v="830.27083333333337"/>
        <n v="5106.3786739626403"/>
        <n v="1387.69930072593"/>
        <n v="3833.375"/>
        <n v="2005.8083333333334"/>
        <n v="3704.3720238095243"/>
        <n v="2121.4152833428702"/>
        <n v="269.53956349206351"/>
        <n v="6497.4833333333327"/>
        <n v="2275.6142204673711"/>
        <n v="1827.4887843403669"/>
        <n v="6497.5"/>
        <n v="1618.4403472222218"/>
        <n v="1386.2619047619046"/>
        <n v="2228.6256900031035"/>
        <n v="5495.0019328724966"/>
        <n v="4576.0641580773727"/>
        <n v="5625"/>
        <n v="5457.5417436828902"/>
        <n v="9323.9787495063574"/>
        <n v="6330.7556760157941"/>
        <n v="1135.0021172246425"/>
        <n v="1329.5462651750772"/>
        <n v="6273.9758670703095"/>
        <n v="7214.1819280900563"/>
        <n v="3447.0521626984123"/>
        <n v="2663.6674206349212"/>
        <n v="2239.9511774514772"/>
        <n v="3133.1996982800588"/>
        <n v="4583.333333333333"/>
        <n v="1069.501308664114"/>
        <n v="1565.2757580535215"/>
        <n v="2440.5664880952377"/>
        <n v="2050.8742657788994"/>
        <n v="2107.7242958830966"/>
        <n v="2034.4640988821091"/>
        <n v="2341.6800218088724"/>
        <n v="2140.9538095238108"/>
        <n v="6341.8175316112684"/>
        <n v="1071.3232851502976"/>
        <n v="5544.791666666667"/>
        <n v="993.78626984126856"/>
        <n v="874.03261904761905"/>
        <n v="5763.9415734974791"/>
        <n v="1578.7045342650524"/>
        <n v="3523.670515873016"/>
        <n v="2224.5309523809524"/>
        <n v="3746.7177028660712"/>
        <n v="2441.857786375082"/>
        <n v="242.51328107756851"/>
        <n v="5866.5565833711998"/>
        <n v="1730.8237707413964"/>
        <n v="1521.5791008095766"/>
        <n v="6536.829850418143"/>
        <n v="1743.3775725590485"/>
        <n v="1408.8333333333333"/>
        <n v="2209.3333333333335"/>
        <n v="5745.587316848897"/>
        <n v="4911.6242438006302"/>
        <n v="5750"/>
        <n v="5552.0430107857092"/>
        <n v="9738.9173057288172"/>
        <n v="6811.1094543488316"/>
        <n v="818.65957310498163"/>
        <n v="1018.082604598535"/>
        <n v="6635.0216375199825"/>
        <n v="7231.1244838015273"/>
        <n v="3275.1832759810491"/>
        <n v="2738.0164429071719"/>
        <n v="1816.8432919994668"/>
        <n v="2590.2843101660069"/>
        <n v="5197.6605464306895"/>
        <n v="796.7699233781326"/>
        <n v="1241.7429714053198"/>
        <n v="2604.6037566692135"/>
        <n v="2221.4751021036814"/>
        <n v="2145.671462251602"/>
        <n v="1942.9822855879038"/>
        <n v="2207.975338038987"/>
        <n v="2239.9551113554767"/>
        <n v="6290"/>
        <n v="708.08866048572202"/>
        <n v="6053.9597731761214"/>
        <n v="1055.270576785713"/>
        <n v="904.94959437015848"/>
        <n v="5918.8781038081679"/>
        <n v="1309.1023644724501"/>
        <n v="3024.1880482058787"/>
        <n v="2376.6529706276656"/>
        <n v="3600.8322255376515"/>
        <n v="1874.7027740062915"/>
        <n v="247.77539484126979"/>
        <n v="5913.3710793650789"/>
        <n v="2081.3257969547467"/>
        <n v="1699.7105188367004"/>
        <n v="6530.1609498255266"/>
        <n v="1730.1426666666669"/>
        <n v="1399.8898492063483"/>
        <n v="2198.101524382882"/>
        <n v="5672.8093333333336"/>
        <n v="4853.6518771929814"/>
        <n v="5715.1426666666666"/>
        <n v="5505.7778843382621"/>
        <n v="9707.2536501322702"/>
        <n v="6756.0546307623654"/>
        <n v="911.14172701911536"/>
        <n v="1110.022174980196"/>
        <n v="6626.5048497893431"/>
        <n v="7196.6606119929447"/>
        <n v="3234.7999583333331"/>
        <n v="2701.6985198412699"/>
        <n v="1777.7376730355502"/>
        <n v="2783.5059927662965"/>
        <n v="5143.2984437554769"/>
        <n v="848.43102901342775"/>
        <n v="1317.5886027813929"/>
        <n v="2685.7814365079362"/>
        <n v="2248.8362300785216"/>
        <n v="2203.7190605299879"/>
        <n v="1966.8859150269434"/>
        <n v="2232.33529081495"/>
        <n v="2245.9077063492068"/>
        <n v="6292.0731910253226"/>
        <n v="841.09075066408593"/>
        <n v="6012.272794396803"/>
        <n v="1046.4464861111117"/>
        <n v="907.87558333333345"/>
        <n v="5920.2632749380136"/>
        <n v="1372.3430734975962"/>
        <n v="3038.7881527777786"/>
        <n v="2302.3809999999999"/>
        <n v="3516.3442619047619"/>
        <n v="1831.2652714346032"/>
        <n v="248.2160615079365"/>
        <n v="5915.3950793650793"/>
        <n v="2082.516463621414"/>
        <n v="1701.0678521700329"/>
        <n v="6528.1849498255278"/>
        <n v="1729.3333333333333"/>
        <n v="1400.0805158730152"/>
        <n v="2192.2921910495479"/>
        <n v="5668.166666666667"/>
        <n v="4842.6758771929817"/>
        <n v="5702"/>
        <n v="5502.6352176715955"/>
        <n v="9706.9443167989357"/>
        <n v="6751.0786307623648"/>
        <n v="910.33239368578199"/>
        <n v="1109.8795083135294"/>
        <n v="6627.3621831226765"/>
        <n v="7186.3512786596111"/>
        <n v="3234.4906249999999"/>
        <n v="2695.8891865079363"/>
        <n v="1775.7616730355501"/>
        <n v="2788.5299927662968"/>
        <n v="5140.9891104221433"/>
        <n v="847.27169568009447"/>
        <n v="1315.9459361147265"/>
        <n v="2681.9721031746035"/>
        <n v="2246.6935634118549"/>
        <n v="2202.2430605299883"/>
        <n v="1970.4099150269424"/>
        <n v="2239.0259574816168"/>
        <n v="2245.7650396825402"/>
        <n v="6290.763857691989"/>
        <n v="838.94808399741908"/>
        <n v="6009.2967943968033"/>
        <n v="1043.4704861111111"/>
        <n v="899.23291666666671"/>
        <n v="5916.620608271347"/>
        <n v="1371.20040683093"/>
        <n v="3034.9788194444441"/>
        <n v="2300.4050000000007"/>
        <n v="3512.8682619047613"/>
        <n v="1830.7892714346028"/>
      </sharedItems>
    </cacheField>
    <cacheField name="Month" numFmtId="0">
      <sharedItems count="12">
        <s v="April"/>
        <s v="August"/>
        <s v="December"/>
        <s v="February"/>
        <s v="January"/>
        <s v="July"/>
        <s v="June"/>
        <s v="March"/>
        <s v="May"/>
        <s v="November"/>
        <s v="October"/>
        <s v="September"/>
      </sharedItems>
    </cacheField>
  </cacheFields>
  <extLst>
    <ext xmlns:x14="http://schemas.microsoft.com/office/spreadsheetml/2009/9/main" uri="{725AE2AE-9491-48be-B2B4-4EB974FC3084}">
      <x14:pivotCacheDefinition pivotCacheId="249770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2">
  <r>
    <s v="April_2025.xlsx"/>
    <x v="0"/>
    <x v="0"/>
    <x v="0"/>
    <x v="0"/>
    <x v="0"/>
    <x v="0"/>
    <x v="0"/>
    <x v="0"/>
  </r>
  <r>
    <s v="April_2025.xlsx"/>
    <x v="1"/>
    <x v="1"/>
    <x v="1"/>
    <x v="1"/>
    <x v="1"/>
    <x v="1"/>
    <x v="1"/>
    <x v="0"/>
  </r>
  <r>
    <s v="April_2025.xlsx"/>
    <x v="2"/>
    <x v="2"/>
    <x v="2"/>
    <x v="2"/>
    <x v="2"/>
    <x v="2"/>
    <x v="2"/>
    <x v="0"/>
  </r>
  <r>
    <s v="April_2025.xlsx"/>
    <x v="3"/>
    <x v="3"/>
    <x v="3"/>
    <x v="3"/>
    <x v="3"/>
    <x v="3"/>
    <x v="3"/>
    <x v="0"/>
  </r>
  <r>
    <s v="April_2025.xlsx"/>
    <x v="4"/>
    <x v="4"/>
    <x v="4"/>
    <x v="4"/>
    <x v="4"/>
    <x v="4"/>
    <x v="4"/>
    <x v="0"/>
  </r>
  <r>
    <s v="April_2025.xlsx"/>
    <x v="5"/>
    <x v="5"/>
    <x v="5"/>
    <x v="5"/>
    <x v="5"/>
    <x v="5"/>
    <x v="5"/>
    <x v="0"/>
  </r>
  <r>
    <s v="April_2025.xlsx"/>
    <x v="6"/>
    <x v="6"/>
    <x v="6"/>
    <x v="6"/>
    <x v="6"/>
    <x v="6"/>
    <x v="6"/>
    <x v="0"/>
  </r>
  <r>
    <s v="April_2025.xlsx"/>
    <x v="7"/>
    <x v="7"/>
    <x v="7"/>
    <x v="7"/>
    <x v="7"/>
    <x v="7"/>
    <x v="7"/>
    <x v="0"/>
  </r>
  <r>
    <s v="April_2025.xlsx"/>
    <x v="8"/>
    <x v="8"/>
    <x v="8"/>
    <x v="8"/>
    <x v="8"/>
    <x v="8"/>
    <x v="8"/>
    <x v="0"/>
  </r>
  <r>
    <s v="April_2025.xlsx"/>
    <x v="9"/>
    <x v="9"/>
    <x v="9"/>
    <x v="9"/>
    <x v="9"/>
    <x v="9"/>
    <x v="9"/>
    <x v="0"/>
  </r>
  <r>
    <s v="April_2025.xlsx"/>
    <x v="10"/>
    <x v="10"/>
    <x v="10"/>
    <x v="10"/>
    <x v="10"/>
    <x v="10"/>
    <x v="10"/>
    <x v="0"/>
  </r>
  <r>
    <s v="April_2025.xlsx"/>
    <x v="11"/>
    <x v="11"/>
    <x v="11"/>
    <x v="11"/>
    <x v="11"/>
    <x v="11"/>
    <x v="11"/>
    <x v="0"/>
  </r>
  <r>
    <s v="April_2025.xlsx"/>
    <x v="12"/>
    <x v="12"/>
    <x v="12"/>
    <x v="12"/>
    <x v="12"/>
    <x v="12"/>
    <x v="12"/>
    <x v="0"/>
  </r>
  <r>
    <s v="April_2025.xlsx"/>
    <x v="13"/>
    <x v="13"/>
    <x v="13"/>
    <x v="13"/>
    <x v="13"/>
    <x v="13"/>
    <x v="13"/>
    <x v="0"/>
  </r>
  <r>
    <s v="April_2025.xlsx"/>
    <x v="14"/>
    <x v="14"/>
    <x v="14"/>
    <x v="14"/>
    <x v="14"/>
    <x v="14"/>
    <x v="14"/>
    <x v="0"/>
  </r>
  <r>
    <s v="April_2025.xlsx"/>
    <x v="15"/>
    <x v="15"/>
    <x v="15"/>
    <x v="15"/>
    <x v="15"/>
    <x v="15"/>
    <x v="15"/>
    <x v="0"/>
  </r>
  <r>
    <s v="April_2025.xlsx"/>
    <x v="16"/>
    <x v="16"/>
    <x v="16"/>
    <x v="16"/>
    <x v="16"/>
    <x v="16"/>
    <x v="16"/>
    <x v="0"/>
  </r>
  <r>
    <s v="April_2025.xlsx"/>
    <x v="17"/>
    <x v="17"/>
    <x v="17"/>
    <x v="17"/>
    <x v="17"/>
    <x v="17"/>
    <x v="17"/>
    <x v="0"/>
  </r>
  <r>
    <s v="April_2025.xlsx"/>
    <x v="18"/>
    <x v="18"/>
    <x v="18"/>
    <x v="18"/>
    <x v="18"/>
    <x v="18"/>
    <x v="18"/>
    <x v="0"/>
  </r>
  <r>
    <s v="April_2025.xlsx"/>
    <x v="19"/>
    <x v="19"/>
    <x v="19"/>
    <x v="19"/>
    <x v="19"/>
    <x v="19"/>
    <x v="19"/>
    <x v="0"/>
  </r>
  <r>
    <s v="April_2025.xlsx"/>
    <x v="20"/>
    <x v="20"/>
    <x v="20"/>
    <x v="20"/>
    <x v="20"/>
    <x v="20"/>
    <x v="20"/>
    <x v="0"/>
  </r>
  <r>
    <s v="April_2025.xlsx"/>
    <x v="21"/>
    <x v="21"/>
    <x v="21"/>
    <x v="21"/>
    <x v="21"/>
    <x v="21"/>
    <x v="21"/>
    <x v="0"/>
  </r>
  <r>
    <s v="April_2025.xlsx"/>
    <x v="22"/>
    <x v="22"/>
    <x v="22"/>
    <x v="22"/>
    <x v="22"/>
    <x v="22"/>
    <x v="22"/>
    <x v="0"/>
  </r>
  <r>
    <s v="April_2025.xlsx"/>
    <x v="23"/>
    <x v="23"/>
    <x v="23"/>
    <x v="23"/>
    <x v="23"/>
    <x v="23"/>
    <x v="23"/>
    <x v="0"/>
  </r>
  <r>
    <s v="April_2025.xlsx"/>
    <x v="24"/>
    <x v="24"/>
    <x v="24"/>
    <x v="24"/>
    <x v="24"/>
    <x v="24"/>
    <x v="24"/>
    <x v="0"/>
  </r>
  <r>
    <s v="April_2025.xlsx"/>
    <x v="25"/>
    <x v="25"/>
    <x v="25"/>
    <x v="25"/>
    <x v="25"/>
    <x v="25"/>
    <x v="25"/>
    <x v="0"/>
  </r>
  <r>
    <s v="April_2025.xlsx"/>
    <x v="26"/>
    <x v="26"/>
    <x v="26"/>
    <x v="26"/>
    <x v="26"/>
    <x v="26"/>
    <x v="26"/>
    <x v="0"/>
  </r>
  <r>
    <s v="April_2025.xlsx"/>
    <x v="27"/>
    <x v="27"/>
    <x v="27"/>
    <x v="27"/>
    <x v="27"/>
    <x v="27"/>
    <x v="27"/>
    <x v="0"/>
  </r>
  <r>
    <s v="April_2025.xlsx"/>
    <x v="28"/>
    <x v="28"/>
    <x v="28"/>
    <x v="28"/>
    <x v="28"/>
    <x v="28"/>
    <x v="28"/>
    <x v="0"/>
  </r>
  <r>
    <s v="April_2025.xlsx"/>
    <x v="29"/>
    <x v="29"/>
    <x v="29"/>
    <x v="29"/>
    <x v="29"/>
    <x v="29"/>
    <x v="29"/>
    <x v="0"/>
  </r>
  <r>
    <s v="April_2025.xlsx"/>
    <x v="30"/>
    <x v="30"/>
    <x v="30"/>
    <x v="30"/>
    <x v="30"/>
    <x v="30"/>
    <x v="30"/>
    <x v="0"/>
  </r>
  <r>
    <s v="April_2025.xlsx"/>
    <x v="31"/>
    <x v="31"/>
    <x v="31"/>
    <x v="31"/>
    <x v="31"/>
    <x v="31"/>
    <x v="31"/>
    <x v="0"/>
  </r>
  <r>
    <s v="April_2025.xlsx"/>
    <x v="32"/>
    <x v="32"/>
    <x v="32"/>
    <x v="32"/>
    <x v="32"/>
    <x v="32"/>
    <x v="32"/>
    <x v="0"/>
  </r>
  <r>
    <s v="April_2025.xlsx"/>
    <x v="33"/>
    <x v="33"/>
    <x v="33"/>
    <x v="33"/>
    <x v="33"/>
    <x v="33"/>
    <x v="33"/>
    <x v="0"/>
  </r>
  <r>
    <s v="April_2025.xlsx"/>
    <x v="34"/>
    <x v="34"/>
    <x v="34"/>
    <x v="34"/>
    <x v="34"/>
    <x v="34"/>
    <x v="34"/>
    <x v="0"/>
  </r>
  <r>
    <s v="April_2025.xlsx"/>
    <x v="35"/>
    <x v="35"/>
    <x v="35"/>
    <x v="35"/>
    <x v="35"/>
    <x v="35"/>
    <x v="35"/>
    <x v="0"/>
  </r>
  <r>
    <s v="April_2025.xlsx"/>
    <x v="36"/>
    <x v="36"/>
    <x v="36"/>
    <x v="36"/>
    <x v="36"/>
    <x v="36"/>
    <x v="36"/>
    <x v="0"/>
  </r>
  <r>
    <s v="April_2025.xlsx"/>
    <x v="37"/>
    <x v="37"/>
    <x v="37"/>
    <x v="37"/>
    <x v="37"/>
    <x v="37"/>
    <x v="37"/>
    <x v="0"/>
  </r>
  <r>
    <s v="April_2025.xlsx"/>
    <x v="38"/>
    <x v="38"/>
    <x v="38"/>
    <x v="38"/>
    <x v="38"/>
    <x v="38"/>
    <x v="38"/>
    <x v="0"/>
  </r>
  <r>
    <s v="April_2025.xlsx"/>
    <x v="39"/>
    <x v="39"/>
    <x v="39"/>
    <x v="39"/>
    <x v="39"/>
    <x v="39"/>
    <x v="39"/>
    <x v="0"/>
  </r>
  <r>
    <s v="April_2025.xlsx"/>
    <x v="40"/>
    <x v="40"/>
    <x v="40"/>
    <x v="40"/>
    <x v="40"/>
    <x v="40"/>
    <x v="40"/>
    <x v="0"/>
  </r>
  <r>
    <s v="April_2025.xlsx"/>
    <x v="41"/>
    <x v="41"/>
    <x v="41"/>
    <x v="41"/>
    <x v="41"/>
    <x v="41"/>
    <x v="41"/>
    <x v="0"/>
  </r>
  <r>
    <s v="April_2025.xlsx"/>
    <x v="42"/>
    <x v="42"/>
    <x v="42"/>
    <x v="42"/>
    <x v="42"/>
    <x v="42"/>
    <x v="42"/>
    <x v="0"/>
  </r>
  <r>
    <s v="April_2025.xlsx"/>
    <x v="42"/>
    <x v="42"/>
    <x v="42"/>
    <x v="42"/>
    <x v="42"/>
    <x v="42"/>
    <x v="42"/>
    <x v="0"/>
  </r>
  <r>
    <s v="August_2025.xlsx"/>
    <x v="0"/>
    <x v="43"/>
    <x v="43"/>
    <x v="43"/>
    <x v="43"/>
    <x v="43"/>
    <x v="43"/>
    <x v="1"/>
  </r>
  <r>
    <s v="August_2025.xlsx"/>
    <x v="1"/>
    <x v="44"/>
    <x v="44"/>
    <x v="44"/>
    <x v="44"/>
    <x v="44"/>
    <x v="44"/>
    <x v="1"/>
  </r>
  <r>
    <s v="August_2025.xlsx"/>
    <x v="2"/>
    <x v="45"/>
    <x v="45"/>
    <x v="45"/>
    <x v="45"/>
    <x v="45"/>
    <x v="45"/>
    <x v="1"/>
  </r>
  <r>
    <s v="August_2025.xlsx"/>
    <x v="3"/>
    <x v="46"/>
    <x v="46"/>
    <x v="46"/>
    <x v="46"/>
    <x v="46"/>
    <x v="46"/>
    <x v="1"/>
  </r>
  <r>
    <s v="August_2025.xlsx"/>
    <x v="4"/>
    <x v="47"/>
    <x v="47"/>
    <x v="47"/>
    <x v="47"/>
    <x v="47"/>
    <x v="47"/>
    <x v="1"/>
  </r>
  <r>
    <s v="August_2025.xlsx"/>
    <x v="5"/>
    <x v="48"/>
    <x v="48"/>
    <x v="48"/>
    <x v="48"/>
    <x v="48"/>
    <x v="48"/>
    <x v="1"/>
  </r>
  <r>
    <s v="August_2025.xlsx"/>
    <x v="6"/>
    <x v="49"/>
    <x v="49"/>
    <x v="49"/>
    <x v="49"/>
    <x v="49"/>
    <x v="49"/>
    <x v="1"/>
  </r>
  <r>
    <s v="August_2025.xlsx"/>
    <x v="7"/>
    <x v="50"/>
    <x v="50"/>
    <x v="50"/>
    <x v="50"/>
    <x v="50"/>
    <x v="50"/>
    <x v="1"/>
  </r>
  <r>
    <s v="August_2025.xlsx"/>
    <x v="8"/>
    <x v="51"/>
    <x v="51"/>
    <x v="51"/>
    <x v="51"/>
    <x v="51"/>
    <x v="51"/>
    <x v="1"/>
  </r>
  <r>
    <s v="August_2025.xlsx"/>
    <x v="9"/>
    <x v="52"/>
    <x v="52"/>
    <x v="52"/>
    <x v="52"/>
    <x v="52"/>
    <x v="52"/>
    <x v="1"/>
  </r>
  <r>
    <s v="August_2025.xlsx"/>
    <x v="10"/>
    <x v="53"/>
    <x v="10"/>
    <x v="53"/>
    <x v="53"/>
    <x v="53"/>
    <x v="53"/>
    <x v="1"/>
  </r>
  <r>
    <s v="August_2025.xlsx"/>
    <x v="11"/>
    <x v="54"/>
    <x v="53"/>
    <x v="54"/>
    <x v="54"/>
    <x v="54"/>
    <x v="54"/>
    <x v="1"/>
  </r>
  <r>
    <s v="August_2025.xlsx"/>
    <x v="12"/>
    <x v="55"/>
    <x v="54"/>
    <x v="55"/>
    <x v="55"/>
    <x v="55"/>
    <x v="55"/>
    <x v="1"/>
  </r>
  <r>
    <s v="August_2025.xlsx"/>
    <x v="13"/>
    <x v="56"/>
    <x v="55"/>
    <x v="56"/>
    <x v="56"/>
    <x v="56"/>
    <x v="56"/>
    <x v="1"/>
  </r>
  <r>
    <s v="August_2025.xlsx"/>
    <x v="14"/>
    <x v="57"/>
    <x v="56"/>
    <x v="57"/>
    <x v="57"/>
    <x v="57"/>
    <x v="57"/>
    <x v="1"/>
  </r>
  <r>
    <s v="August_2025.xlsx"/>
    <x v="15"/>
    <x v="58"/>
    <x v="57"/>
    <x v="58"/>
    <x v="58"/>
    <x v="58"/>
    <x v="58"/>
    <x v="1"/>
  </r>
  <r>
    <s v="August_2025.xlsx"/>
    <x v="16"/>
    <x v="59"/>
    <x v="58"/>
    <x v="59"/>
    <x v="59"/>
    <x v="59"/>
    <x v="59"/>
    <x v="1"/>
  </r>
  <r>
    <s v="August_2025.xlsx"/>
    <x v="17"/>
    <x v="60"/>
    <x v="59"/>
    <x v="60"/>
    <x v="60"/>
    <x v="60"/>
    <x v="60"/>
    <x v="1"/>
  </r>
  <r>
    <s v="August_2025.xlsx"/>
    <x v="18"/>
    <x v="61"/>
    <x v="60"/>
    <x v="61"/>
    <x v="61"/>
    <x v="61"/>
    <x v="61"/>
    <x v="1"/>
  </r>
  <r>
    <s v="August_2025.xlsx"/>
    <x v="19"/>
    <x v="62"/>
    <x v="61"/>
    <x v="62"/>
    <x v="62"/>
    <x v="62"/>
    <x v="62"/>
    <x v="1"/>
  </r>
  <r>
    <s v="August_2025.xlsx"/>
    <x v="20"/>
    <x v="63"/>
    <x v="62"/>
    <x v="63"/>
    <x v="63"/>
    <x v="63"/>
    <x v="63"/>
    <x v="1"/>
  </r>
  <r>
    <s v="August_2025.xlsx"/>
    <x v="21"/>
    <x v="64"/>
    <x v="63"/>
    <x v="64"/>
    <x v="64"/>
    <x v="64"/>
    <x v="64"/>
    <x v="1"/>
  </r>
  <r>
    <s v="August_2025.xlsx"/>
    <x v="22"/>
    <x v="65"/>
    <x v="64"/>
    <x v="65"/>
    <x v="65"/>
    <x v="65"/>
    <x v="65"/>
    <x v="1"/>
  </r>
  <r>
    <s v="August_2025.xlsx"/>
    <x v="23"/>
    <x v="66"/>
    <x v="65"/>
    <x v="66"/>
    <x v="66"/>
    <x v="66"/>
    <x v="66"/>
    <x v="1"/>
  </r>
  <r>
    <s v="August_2025.xlsx"/>
    <x v="24"/>
    <x v="67"/>
    <x v="66"/>
    <x v="67"/>
    <x v="67"/>
    <x v="67"/>
    <x v="67"/>
    <x v="1"/>
  </r>
  <r>
    <s v="August_2025.xlsx"/>
    <x v="25"/>
    <x v="68"/>
    <x v="67"/>
    <x v="68"/>
    <x v="68"/>
    <x v="68"/>
    <x v="68"/>
    <x v="1"/>
  </r>
  <r>
    <s v="August_2025.xlsx"/>
    <x v="26"/>
    <x v="69"/>
    <x v="68"/>
    <x v="69"/>
    <x v="69"/>
    <x v="69"/>
    <x v="69"/>
    <x v="1"/>
  </r>
  <r>
    <s v="August_2025.xlsx"/>
    <x v="27"/>
    <x v="70"/>
    <x v="69"/>
    <x v="70"/>
    <x v="70"/>
    <x v="70"/>
    <x v="70"/>
    <x v="1"/>
  </r>
  <r>
    <s v="August_2025.xlsx"/>
    <x v="28"/>
    <x v="71"/>
    <x v="70"/>
    <x v="71"/>
    <x v="71"/>
    <x v="71"/>
    <x v="71"/>
    <x v="1"/>
  </r>
  <r>
    <s v="August_2025.xlsx"/>
    <x v="29"/>
    <x v="72"/>
    <x v="71"/>
    <x v="72"/>
    <x v="72"/>
    <x v="72"/>
    <x v="72"/>
    <x v="1"/>
  </r>
  <r>
    <s v="August_2025.xlsx"/>
    <x v="30"/>
    <x v="73"/>
    <x v="72"/>
    <x v="73"/>
    <x v="73"/>
    <x v="73"/>
    <x v="73"/>
    <x v="1"/>
  </r>
  <r>
    <s v="August_2025.xlsx"/>
    <x v="31"/>
    <x v="74"/>
    <x v="73"/>
    <x v="74"/>
    <x v="74"/>
    <x v="74"/>
    <x v="74"/>
    <x v="1"/>
  </r>
  <r>
    <s v="August_2025.xlsx"/>
    <x v="32"/>
    <x v="75"/>
    <x v="74"/>
    <x v="75"/>
    <x v="75"/>
    <x v="75"/>
    <x v="75"/>
    <x v="1"/>
  </r>
  <r>
    <s v="August_2025.xlsx"/>
    <x v="33"/>
    <x v="76"/>
    <x v="75"/>
    <x v="76"/>
    <x v="76"/>
    <x v="76"/>
    <x v="76"/>
    <x v="1"/>
  </r>
  <r>
    <s v="August_2025.xlsx"/>
    <x v="34"/>
    <x v="77"/>
    <x v="76"/>
    <x v="77"/>
    <x v="77"/>
    <x v="77"/>
    <x v="77"/>
    <x v="1"/>
  </r>
  <r>
    <s v="August_2025.xlsx"/>
    <x v="35"/>
    <x v="78"/>
    <x v="77"/>
    <x v="78"/>
    <x v="78"/>
    <x v="78"/>
    <x v="78"/>
    <x v="1"/>
  </r>
  <r>
    <s v="August_2025.xlsx"/>
    <x v="36"/>
    <x v="79"/>
    <x v="78"/>
    <x v="79"/>
    <x v="79"/>
    <x v="79"/>
    <x v="79"/>
    <x v="1"/>
  </r>
  <r>
    <s v="August_2025.xlsx"/>
    <x v="37"/>
    <x v="80"/>
    <x v="79"/>
    <x v="80"/>
    <x v="80"/>
    <x v="80"/>
    <x v="80"/>
    <x v="1"/>
  </r>
  <r>
    <s v="August_2025.xlsx"/>
    <x v="38"/>
    <x v="81"/>
    <x v="80"/>
    <x v="81"/>
    <x v="81"/>
    <x v="81"/>
    <x v="81"/>
    <x v="1"/>
  </r>
  <r>
    <s v="August_2025.xlsx"/>
    <x v="39"/>
    <x v="82"/>
    <x v="81"/>
    <x v="82"/>
    <x v="82"/>
    <x v="82"/>
    <x v="82"/>
    <x v="1"/>
  </r>
  <r>
    <s v="August_2025.xlsx"/>
    <x v="40"/>
    <x v="83"/>
    <x v="82"/>
    <x v="83"/>
    <x v="83"/>
    <x v="83"/>
    <x v="83"/>
    <x v="1"/>
  </r>
  <r>
    <s v="August_2025.xlsx"/>
    <x v="41"/>
    <x v="84"/>
    <x v="83"/>
    <x v="84"/>
    <x v="84"/>
    <x v="84"/>
    <x v="84"/>
    <x v="1"/>
  </r>
  <r>
    <s v="August_2025.xlsx"/>
    <x v="42"/>
    <x v="42"/>
    <x v="42"/>
    <x v="42"/>
    <x v="42"/>
    <x v="42"/>
    <x v="42"/>
    <x v="1"/>
  </r>
  <r>
    <s v="August_2025.xlsx"/>
    <x v="42"/>
    <x v="42"/>
    <x v="42"/>
    <x v="42"/>
    <x v="42"/>
    <x v="42"/>
    <x v="42"/>
    <x v="1"/>
  </r>
  <r>
    <s v="December_2025.xlsx"/>
    <x v="0"/>
    <x v="85"/>
    <x v="84"/>
    <x v="85"/>
    <x v="85"/>
    <x v="85"/>
    <x v="85"/>
    <x v="2"/>
  </r>
  <r>
    <s v="December_2025.xlsx"/>
    <x v="1"/>
    <x v="86"/>
    <x v="85"/>
    <x v="86"/>
    <x v="86"/>
    <x v="86"/>
    <x v="86"/>
    <x v="2"/>
  </r>
  <r>
    <s v="December_2025.xlsx"/>
    <x v="2"/>
    <x v="87"/>
    <x v="86"/>
    <x v="87"/>
    <x v="87"/>
    <x v="87"/>
    <x v="87"/>
    <x v="2"/>
  </r>
  <r>
    <s v="December_2025.xlsx"/>
    <x v="3"/>
    <x v="88"/>
    <x v="87"/>
    <x v="88"/>
    <x v="88"/>
    <x v="88"/>
    <x v="88"/>
    <x v="2"/>
  </r>
  <r>
    <s v="December_2025.xlsx"/>
    <x v="4"/>
    <x v="89"/>
    <x v="88"/>
    <x v="89"/>
    <x v="89"/>
    <x v="89"/>
    <x v="89"/>
    <x v="2"/>
  </r>
  <r>
    <s v="December_2025.xlsx"/>
    <x v="5"/>
    <x v="90"/>
    <x v="89"/>
    <x v="90"/>
    <x v="90"/>
    <x v="90"/>
    <x v="90"/>
    <x v="2"/>
  </r>
  <r>
    <s v="December_2025.xlsx"/>
    <x v="6"/>
    <x v="91"/>
    <x v="90"/>
    <x v="91"/>
    <x v="91"/>
    <x v="91"/>
    <x v="91"/>
    <x v="2"/>
  </r>
  <r>
    <s v="December_2025.xlsx"/>
    <x v="7"/>
    <x v="92"/>
    <x v="91"/>
    <x v="92"/>
    <x v="92"/>
    <x v="92"/>
    <x v="92"/>
    <x v="2"/>
  </r>
  <r>
    <s v="December_2025.xlsx"/>
    <x v="8"/>
    <x v="93"/>
    <x v="92"/>
    <x v="93"/>
    <x v="93"/>
    <x v="93"/>
    <x v="93"/>
    <x v="2"/>
  </r>
  <r>
    <s v="December_2025.xlsx"/>
    <x v="9"/>
    <x v="94"/>
    <x v="93"/>
    <x v="94"/>
    <x v="94"/>
    <x v="94"/>
    <x v="94"/>
    <x v="2"/>
  </r>
  <r>
    <s v="December_2025.xlsx"/>
    <x v="10"/>
    <x v="95"/>
    <x v="94"/>
    <x v="95"/>
    <x v="95"/>
    <x v="95"/>
    <x v="95"/>
    <x v="2"/>
  </r>
  <r>
    <s v="December_2025.xlsx"/>
    <x v="11"/>
    <x v="96"/>
    <x v="95"/>
    <x v="96"/>
    <x v="96"/>
    <x v="96"/>
    <x v="96"/>
    <x v="2"/>
  </r>
  <r>
    <s v="December_2025.xlsx"/>
    <x v="12"/>
    <x v="97"/>
    <x v="96"/>
    <x v="97"/>
    <x v="97"/>
    <x v="97"/>
    <x v="97"/>
    <x v="2"/>
  </r>
  <r>
    <s v="December_2025.xlsx"/>
    <x v="13"/>
    <x v="98"/>
    <x v="97"/>
    <x v="98"/>
    <x v="98"/>
    <x v="98"/>
    <x v="98"/>
    <x v="2"/>
  </r>
  <r>
    <s v="December_2025.xlsx"/>
    <x v="14"/>
    <x v="99"/>
    <x v="98"/>
    <x v="99"/>
    <x v="99"/>
    <x v="99"/>
    <x v="99"/>
    <x v="2"/>
  </r>
  <r>
    <s v="December_2025.xlsx"/>
    <x v="15"/>
    <x v="100"/>
    <x v="99"/>
    <x v="100"/>
    <x v="100"/>
    <x v="100"/>
    <x v="100"/>
    <x v="2"/>
  </r>
  <r>
    <s v="December_2025.xlsx"/>
    <x v="16"/>
    <x v="101"/>
    <x v="100"/>
    <x v="101"/>
    <x v="101"/>
    <x v="101"/>
    <x v="101"/>
    <x v="2"/>
  </r>
  <r>
    <s v="December_2025.xlsx"/>
    <x v="17"/>
    <x v="102"/>
    <x v="101"/>
    <x v="102"/>
    <x v="102"/>
    <x v="102"/>
    <x v="102"/>
    <x v="2"/>
  </r>
  <r>
    <s v="December_2025.xlsx"/>
    <x v="18"/>
    <x v="103"/>
    <x v="102"/>
    <x v="103"/>
    <x v="103"/>
    <x v="103"/>
    <x v="103"/>
    <x v="2"/>
  </r>
  <r>
    <s v="December_2025.xlsx"/>
    <x v="19"/>
    <x v="104"/>
    <x v="103"/>
    <x v="104"/>
    <x v="104"/>
    <x v="104"/>
    <x v="104"/>
    <x v="2"/>
  </r>
  <r>
    <s v="December_2025.xlsx"/>
    <x v="20"/>
    <x v="105"/>
    <x v="104"/>
    <x v="105"/>
    <x v="105"/>
    <x v="105"/>
    <x v="105"/>
    <x v="2"/>
  </r>
  <r>
    <s v="December_2025.xlsx"/>
    <x v="21"/>
    <x v="106"/>
    <x v="105"/>
    <x v="106"/>
    <x v="106"/>
    <x v="106"/>
    <x v="106"/>
    <x v="2"/>
  </r>
  <r>
    <s v="December_2025.xlsx"/>
    <x v="22"/>
    <x v="107"/>
    <x v="106"/>
    <x v="107"/>
    <x v="107"/>
    <x v="107"/>
    <x v="107"/>
    <x v="2"/>
  </r>
  <r>
    <s v="December_2025.xlsx"/>
    <x v="23"/>
    <x v="108"/>
    <x v="107"/>
    <x v="108"/>
    <x v="108"/>
    <x v="108"/>
    <x v="108"/>
    <x v="2"/>
  </r>
  <r>
    <s v="December_2025.xlsx"/>
    <x v="24"/>
    <x v="109"/>
    <x v="108"/>
    <x v="109"/>
    <x v="109"/>
    <x v="109"/>
    <x v="109"/>
    <x v="2"/>
  </r>
  <r>
    <s v="December_2025.xlsx"/>
    <x v="25"/>
    <x v="110"/>
    <x v="109"/>
    <x v="110"/>
    <x v="110"/>
    <x v="110"/>
    <x v="110"/>
    <x v="2"/>
  </r>
  <r>
    <s v="December_2025.xlsx"/>
    <x v="26"/>
    <x v="111"/>
    <x v="110"/>
    <x v="111"/>
    <x v="111"/>
    <x v="111"/>
    <x v="111"/>
    <x v="2"/>
  </r>
  <r>
    <s v="December_2025.xlsx"/>
    <x v="27"/>
    <x v="112"/>
    <x v="111"/>
    <x v="112"/>
    <x v="112"/>
    <x v="112"/>
    <x v="112"/>
    <x v="2"/>
  </r>
  <r>
    <s v="December_2025.xlsx"/>
    <x v="28"/>
    <x v="113"/>
    <x v="112"/>
    <x v="113"/>
    <x v="113"/>
    <x v="113"/>
    <x v="113"/>
    <x v="2"/>
  </r>
  <r>
    <s v="December_2025.xlsx"/>
    <x v="29"/>
    <x v="114"/>
    <x v="113"/>
    <x v="114"/>
    <x v="114"/>
    <x v="114"/>
    <x v="114"/>
    <x v="2"/>
  </r>
  <r>
    <s v="December_2025.xlsx"/>
    <x v="30"/>
    <x v="115"/>
    <x v="114"/>
    <x v="115"/>
    <x v="115"/>
    <x v="115"/>
    <x v="115"/>
    <x v="2"/>
  </r>
  <r>
    <s v="December_2025.xlsx"/>
    <x v="31"/>
    <x v="116"/>
    <x v="115"/>
    <x v="116"/>
    <x v="116"/>
    <x v="116"/>
    <x v="116"/>
    <x v="2"/>
  </r>
  <r>
    <s v="December_2025.xlsx"/>
    <x v="32"/>
    <x v="117"/>
    <x v="116"/>
    <x v="117"/>
    <x v="117"/>
    <x v="117"/>
    <x v="117"/>
    <x v="2"/>
  </r>
  <r>
    <s v="December_2025.xlsx"/>
    <x v="33"/>
    <x v="118"/>
    <x v="117"/>
    <x v="118"/>
    <x v="118"/>
    <x v="118"/>
    <x v="118"/>
    <x v="2"/>
  </r>
  <r>
    <s v="December_2025.xlsx"/>
    <x v="34"/>
    <x v="119"/>
    <x v="118"/>
    <x v="119"/>
    <x v="119"/>
    <x v="119"/>
    <x v="119"/>
    <x v="2"/>
  </r>
  <r>
    <s v="December_2025.xlsx"/>
    <x v="35"/>
    <x v="120"/>
    <x v="119"/>
    <x v="120"/>
    <x v="120"/>
    <x v="120"/>
    <x v="120"/>
    <x v="2"/>
  </r>
  <r>
    <s v="December_2025.xlsx"/>
    <x v="36"/>
    <x v="121"/>
    <x v="120"/>
    <x v="121"/>
    <x v="121"/>
    <x v="121"/>
    <x v="121"/>
    <x v="2"/>
  </r>
  <r>
    <s v="December_2025.xlsx"/>
    <x v="37"/>
    <x v="122"/>
    <x v="121"/>
    <x v="122"/>
    <x v="122"/>
    <x v="122"/>
    <x v="122"/>
    <x v="2"/>
  </r>
  <r>
    <s v="December_2025.xlsx"/>
    <x v="38"/>
    <x v="123"/>
    <x v="122"/>
    <x v="123"/>
    <x v="123"/>
    <x v="123"/>
    <x v="123"/>
    <x v="2"/>
  </r>
  <r>
    <s v="December_2025.xlsx"/>
    <x v="39"/>
    <x v="124"/>
    <x v="123"/>
    <x v="124"/>
    <x v="124"/>
    <x v="124"/>
    <x v="124"/>
    <x v="2"/>
  </r>
  <r>
    <s v="December_2025.xlsx"/>
    <x v="40"/>
    <x v="125"/>
    <x v="124"/>
    <x v="125"/>
    <x v="125"/>
    <x v="125"/>
    <x v="125"/>
    <x v="2"/>
  </r>
  <r>
    <s v="December_2025.xlsx"/>
    <x v="41"/>
    <x v="126"/>
    <x v="125"/>
    <x v="126"/>
    <x v="126"/>
    <x v="126"/>
    <x v="126"/>
    <x v="2"/>
  </r>
  <r>
    <s v="December_2025.xlsx"/>
    <x v="42"/>
    <x v="42"/>
    <x v="42"/>
    <x v="42"/>
    <x v="42"/>
    <x v="42"/>
    <x v="42"/>
    <x v="2"/>
  </r>
  <r>
    <s v="December_2025.xlsx"/>
    <x v="42"/>
    <x v="42"/>
    <x v="42"/>
    <x v="42"/>
    <x v="42"/>
    <x v="42"/>
    <x v="42"/>
    <x v="2"/>
  </r>
  <r>
    <s v="February_2025.xlsx"/>
    <x v="0"/>
    <x v="127"/>
    <x v="126"/>
    <x v="127"/>
    <x v="127"/>
    <x v="127"/>
    <x v="127"/>
    <x v="3"/>
  </r>
  <r>
    <s v="February_2025.xlsx"/>
    <x v="1"/>
    <x v="128"/>
    <x v="127"/>
    <x v="128"/>
    <x v="128"/>
    <x v="128"/>
    <x v="128"/>
    <x v="3"/>
  </r>
  <r>
    <s v="February_2025.xlsx"/>
    <x v="2"/>
    <x v="129"/>
    <x v="128"/>
    <x v="129"/>
    <x v="129"/>
    <x v="129"/>
    <x v="129"/>
    <x v="3"/>
  </r>
  <r>
    <s v="February_2025.xlsx"/>
    <x v="3"/>
    <x v="130"/>
    <x v="129"/>
    <x v="130"/>
    <x v="130"/>
    <x v="130"/>
    <x v="130"/>
    <x v="3"/>
  </r>
  <r>
    <s v="February_2025.xlsx"/>
    <x v="4"/>
    <x v="131"/>
    <x v="130"/>
    <x v="131"/>
    <x v="131"/>
    <x v="131"/>
    <x v="131"/>
    <x v="3"/>
  </r>
  <r>
    <s v="February_2025.xlsx"/>
    <x v="5"/>
    <x v="132"/>
    <x v="131"/>
    <x v="132"/>
    <x v="132"/>
    <x v="132"/>
    <x v="132"/>
    <x v="3"/>
  </r>
  <r>
    <s v="February_2025.xlsx"/>
    <x v="6"/>
    <x v="133"/>
    <x v="132"/>
    <x v="133"/>
    <x v="133"/>
    <x v="133"/>
    <x v="133"/>
    <x v="3"/>
  </r>
  <r>
    <s v="February_2025.xlsx"/>
    <x v="7"/>
    <x v="134"/>
    <x v="133"/>
    <x v="134"/>
    <x v="134"/>
    <x v="134"/>
    <x v="134"/>
    <x v="3"/>
  </r>
  <r>
    <s v="February_2025.xlsx"/>
    <x v="8"/>
    <x v="135"/>
    <x v="134"/>
    <x v="135"/>
    <x v="135"/>
    <x v="135"/>
    <x v="135"/>
    <x v="3"/>
  </r>
  <r>
    <s v="February_2025.xlsx"/>
    <x v="9"/>
    <x v="136"/>
    <x v="135"/>
    <x v="136"/>
    <x v="136"/>
    <x v="136"/>
    <x v="136"/>
    <x v="3"/>
  </r>
  <r>
    <s v="February_2025.xlsx"/>
    <x v="10"/>
    <x v="137"/>
    <x v="136"/>
    <x v="137"/>
    <x v="137"/>
    <x v="137"/>
    <x v="137"/>
    <x v="3"/>
  </r>
  <r>
    <s v="February_2025.xlsx"/>
    <x v="11"/>
    <x v="138"/>
    <x v="137"/>
    <x v="138"/>
    <x v="138"/>
    <x v="138"/>
    <x v="138"/>
    <x v="3"/>
  </r>
  <r>
    <s v="February_2025.xlsx"/>
    <x v="12"/>
    <x v="139"/>
    <x v="138"/>
    <x v="139"/>
    <x v="139"/>
    <x v="139"/>
    <x v="139"/>
    <x v="3"/>
  </r>
  <r>
    <s v="February_2025.xlsx"/>
    <x v="13"/>
    <x v="140"/>
    <x v="139"/>
    <x v="140"/>
    <x v="140"/>
    <x v="140"/>
    <x v="140"/>
    <x v="3"/>
  </r>
  <r>
    <s v="February_2025.xlsx"/>
    <x v="14"/>
    <x v="141"/>
    <x v="140"/>
    <x v="141"/>
    <x v="141"/>
    <x v="141"/>
    <x v="141"/>
    <x v="3"/>
  </r>
  <r>
    <s v="February_2025.xlsx"/>
    <x v="15"/>
    <x v="142"/>
    <x v="141"/>
    <x v="142"/>
    <x v="142"/>
    <x v="142"/>
    <x v="142"/>
    <x v="3"/>
  </r>
  <r>
    <s v="February_2025.xlsx"/>
    <x v="16"/>
    <x v="143"/>
    <x v="142"/>
    <x v="143"/>
    <x v="143"/>
    <x v="143"/>
    <x v="143"/>
    <x v="3"/>
  </r>
  <r>
    <s v="February_2025.xlsx"/>
    <x v="17"/>
    <x v="144"/>
    <x v="143"/>
    <x v="144"/>
    <x v="144"/>
    <x v="144"/>
    <x v="144"/>
    <x v="3"/>
  </r>
  <r>
    <s v="February_2025.xlsx"/>
    <x v="18"/>
    <x v="145"/>
    <x v="144"/>
    <x v="145"/>
    <x v="145"/>
    <x v="145"/>
    <x v="145"/>
    <x v="3"/>
  </r>
  <r>
    <s v="February_2025.xlsx"/>
    <x v="19"/>
    <x v="146"/>
    <x v="145"/>
    <x v="146"/>
    <x v="146"/>
    <x v="146"/>
    <x v="146"/>
    <x v="3"/>
  </r>
  <r>
    <s v="February_2025.xlsx"/>
    <x v="20"/>
    <x v="147"/>
    <x v="146"/>
    <x v="147"/>
    <x v="147"/>
    <x v="147"/>
    <x v="147"/>
    <x v="3"/>
  </r>
  <r>
    <s v="February_2025.xlsx"/>
    <x v="21"/>
    <x v="148"/>
    <x v="147"/>
    <x v="148"/>
    <x v="148"/>
    <x v="148"/>
    <x v="148"/>
    <x v="3"/>
  </r>
  <r>
    <s v="February_2025.xlsx"/>
    <x v="22"/>
    <x v="149"/>
    <x v="148"/>
    <x v="149"/>
    <x v="149"/>
    <x v="149"/>
    <x v="149"/>
    <x v="3"/>
  </r>
  <r>
    <s v="February_2025.xlsx"/>
    <x v="23"/>
    <x v="150"/>
    <x v="149"/>
    <x v="150"/>
    <x v="150"/>
    <x v="150"/>
    <x v="150"/>
    <x v="3"/>
  </r>
  <r>
    <s v="February_2025.xlsx"/>
    <x v="24"/>
    <x v="151"/>
    <x v="150"/>
    <x v="151"/>
    <x v="151"/>
    <x v="151"/>
    <x v="151"/>
    <x v="3"/>
  </r>
  <r>
    <s v="February_2025.xlsx"/>
    <x v="25"/>
    <x v="152"/>
    <x v="151"/>
    <x v="152"/>
    <x v="152"/>
    <x v="152"/>
    <x v="152"/>
    <x v="3"/>
  </r>
  <r>
    <s v="February_2025.xlsx"/>
    <x v="26"/>
    <x v="153"/>
    <x v="152"/>
    <x v="153"/>
    <x v="153"/>
    <x v="153"/>
    <x v="153"/>
    <x v="3"/>
  </r>
  <r>
    <s v="February_2025.xlsx"/>
    <x v="27"/>
    <x v="154"/>
    <x v="153"/>
    <x v="154"/>
    <x v="154"/>
    <x v="154"/>
    <x v="154"/>
    <x v="3"/>
  </r>
  <r>
    <s v="February_2025.xlsx"/>
    <x v="28"/>
    <x v="155"/>
    <x v="154"/>
    <x v="155"/>
    <x v="155"/>
    <x v="155"/>
    <x v="155"/>
    <x v="3"/>
  </r>
  <r>
    <s v="February_2025.xlsx"/>
    <x v="29"/>
    <x v="156"/>
    <x v="155"/>
    <x v="156"/>
    <x v="156"/>
    <x v="156"/>
    <x v="156"/>
    <x v="3"/>
  </r>
  <r>
    <s v="February_2025.xlsx"/>
    <x v="30"/>
    <x v="157"/>
    <x v="156"/>
    <x v="157"/>
    <x v="157"/>
    <x v="157"/>
    <x v="157"/>
    <x v="3"/>
  </r>
  <r>
    <s v="February_2025.xlsx"/>
    <x v="31"/>
    <x v="158"/>
    <x v="157"/>
    <x v="158"/>
    <x v="158"/>
    <x v="158"/>
    <x v="158"/>
    <x v="3"/>
  </r>
  <r>
    <s v="February_2025.xlsx"/>
    <x v="32"/>
    <x v="159"/>
    <x v="158"/>
    <x v="159"/>
    <x v="159"/>
    <x v="159"/>
    <x v="159"/>
    <x v="3"/>
  </r>
  <r>
    <s v="February_2025.xlsx"/>
    <x v="33"/>
    <x v="160"/>
    <x v="159"/>
    <x v="160"/>
    <x v="160"/>
    <x v="160"/>
    <x v="160"/>
    <x v="3"/>
  </r>
  <r>
    <s v="February_2025.xlsx"/>
    <x v="34"/>
    <x v="161"/>
    <x v="160"/>
    <x v="161"/>
    <x v="161"/>
    <x v="161"/>
    <x v="161"/>
    <x v="3"/>
  </r>
  <r>
    <s v="February_2025.xlsx"/>
    <x v="35"/>
    <x v="162"/>
    <x v="161"/>
    <x v="162"/>
    <x v="162"/>
    <x v="162"/>
    <x v="162"/>
    <x v="3"/>
  </r>
  <r>
    <s v="February_2025.xlsx"/>
    <x v="36"/>
    <x v="163"/>
    <x v="162"/>
    <x v="163"/>
    <x v="163"/>
    <x v="163"/>
    <x v="163"/>
    <x v="3"/>
  </r>
  <r>
    <s v="February_2025.xlsx"/>
    <x v="37"/>
    <x v="164"/>
    <x v="163"/>
    <x v="164"/>
    <x v="164"/>
    <x v="164"/>
    <x v="164"/>
    <x v="3"/>
  </r>
  <r>
    <s v="February_2025.xlsx"/>
    <x v="38"/>
    <x v="165"/>
    <x v="164"/>
    <x v="165"/>
    <x v="165"/>
    <x v="165"/>
    <x v="165"/>
    <x v="3"/>
  </r>
  <r>
    <s v="February_2025.xlsx"/>
    <x v="39"/>
    <x v="166"/>
    <x v="165"/>
    <x v="166"/>
    <x v="166"/>
    <x v="166"/>
    <x v="166"/>
    <x v="3"/>
  </r>
  <r>
    <s v="February_2025.xlsx"/>
    <x v="40"/>
    <x v="167"/>
    <x v="166"/>
    <x v="167"/>
    <x v="167"/>
    <x v="167"/>
    <x v="167"/>
    <x v="3"/>
  </r>
  <r>
    <s v="February_2025.xlsx"/>
    <x v="41"/>
    <x v="168"/>
    <x v="167"/>
    <x v="168"/>
    <x v="168"/>
    <x v="168"/>
    <x v="168"/>
    <x v="3"/>
  </r>
  <r>
    <s v="January_2025.xlsx"/>
    <x v="0"/>
    <x v="169"/>
    <x v="168"/>
    <x v="169"/>
    <x v="169"/>
    <x v="169"/>
    <x v="169"/>
    <x v="4"/>
  </r>
  <r>
    <s v="January_2025.xlsx"/>
    <x v="1"/>
    <x v="170"/>
    <x v="169"/>
    <x v="170"/>
    <x v="170"/>
    <x v="170"/>
    <x v="170"/>
    <x v="4"/>
  </r>
  <r>
    <s v="January_2025.xlsx"/>
    <x v="2"/>
    <x v="171"/>
    <x v="170"/>
    <x v="171"/>
    <x v="171"/>
    <x v="171"/>
    <x v="171"/>
    <x v="4"/>
  </r>
  <r>
    <s v="January_2025.xlsx"/>
    <x v="3"/>
    <x v="172"/>
    <x v="171"/>
    <x v="172"/>
    <x v="172"/>
    <x v="172"/>
    <x v="172"/>
    <x v="4"/>
  </r>
  <r>
    <s v="January_2025.xlsx"/>
    <x v="4"/>
    <x v="173"/>
    <x v="172"/>
    <x v="173"/>
    <x v="173"/>
    <x v="173"/>
    <x v="173"/>
    <x v="4"/>
  </r>
  <r>
    <s v="January_2025.xlsx"/>
    <x v="5"/>
    <x v="174"/>
    <x v="173"/>
    <x v="174"/>
    <x v="174"/>
    <x v="48"/>
    <x v="174"/>
    <x v="4"/>
  </r>
  <r>
    <s v="January_2025.xlsx"/>
    <x v="6"/>
    <x v="175"/>
    <x v="174"/>
    <x v="175"/>
    <x v="175"/>
    <x v="174"/>
    <x v="175"/>
    <x v="4"/>
  </r>
  <r>
    <s v="January_2025.xlsx"/>
    <x v="7"/>
    <x v="176"/>
    <x v="175"/>
    <x v="176"/>
    <x v="176"/>
    <x v="175"/>
    <x v="176"/>
    <x v="4"/>
  </r>
  <r>
    <s v="January_2025.xlsx"/>
    <x v="8"/>
    <x v="177"/>
    <x v="176"/>
    <x v="177"/>
    <x v="177"/>
    <x v="176"/>
    <x v="177"/>
    <x v="4"/>
  </r>
  <r>
    <s v="January_2025.xlsx"/>
    <x v="9"/>
    <x v="178"/>
    <x v="177"/>
    <x v="178"/>
    <x v="178"/>
    <x v="177"/>
    <x v="178"/>
    <x v="4"/>
  </r>
  <r>
    <s v="January_2025.xlsx"/>
    <x v="10"/>
    <x v="179"/>
    <x v="178"/>
    <x v="179"/>
    <x v="179"/>
    <x v="178"/>
    <x v="179"/>
    <x v="4"/>
  </r>
  <r>
    <s v="January_2025.xlsx"/>
    <x v="11"/>
    <x v="180"/>
    <x v="179"/>
    <x v="180"/>
    <x v="180"/>
    <x v="179"/>
    <x v="180"/>
    <x v="4"/>
  </r>
  <r>
    <s v="January_2025.xlsx"/>
    <x v="12"/>
    <x v="181"/>
    <x v="180"/>
    <x v="181"/>
    <x v="181"/>
    <x v="180"/>
    <x v="181"/>
    <x v="4"/>
  </r>
  <r>
    <s v="January_2025.xlsx"/>
    <x v="13"/>
    <x v="182"/>
    <x v="181"/>
    <x v="182"/>
    <x v="182"/>
    <x v="181"/>
    <x v="182"/>
    <x v="4"/>
  </r>
  <r>
    <s v="January_2025.xlsx"/>
    <x v="14"/>
    <x v="183"/>
    <x v="182"/>
    <x v="183"/>
    <x v="183"/>
    <x v="182"/>
    <x v="183"/>
    <x v="4"/>
  </r>
  <r>
    <s v="January_2025.xlsx"/>
    <x v="15"/>
    <x v="184"/>
    <x v="183"/>
    <x v="184"/>
    <x v="184"/>
    <x v="183"/>
    <x v="184"/>
    <x v="4"/>
  </r>
  <r>
    <s v="January_2025.xlsx"/>
    <x v="16"/>
    <x v="185"/>
    <x v="184"/>
    <x v="185"/>
    <x v="185"/>
    <x v="184"/>
    <x v="185"/>
    <x v="4"/>
  </r>
  <r>
    <s v="January_2025.xlsx"/>
    <x v="17"/>
    <x v="186"/>
    <x v="185"/>
    <x v="186"/>
    <x v="186"/>
    <x v="185"/>
    <x v="186"/>
    <x v="4"/>
  </r>
  <r>
    <s v="January_2025.xlsx"/>
    <x v="18"/>
    <x v="187"/>
    <x v="186"/>
    <x v="187"/>
    <x v="187"/>
    <x v="186"/>
    <x v="187"/>
    <x v="4"/>
  </r>
  <r>
    <s v="January_2025.xlsx"/>
    <x v="19"/>
    <x v="188"/>
    <x v="187"/>
    <x v="188"/>
    <x v="188"/>
    <x v="187"/>
    <x v="188"/>
    <x v="4"/>
  </r>
  <r>
    <s v="January_2025.xlsx"/>
    <x v="20"/>
    <x v="189"/>
    <x v="188"/>
    <x v="189"/>
    <x v="189"/>
    <x v="188"/>
    <x v="189"/>
    <x v="4"/>
  </r>
  <r>
    <s v="January_2025.xlsx"/>
    <x v="21"/>
    <x v="190"/>
    <x v="189"/>
    <x v="190"/>
    <x v="190"/>
    <x v="189"/>
    <x v="190"/>
    <x v="4"/>
  </r>
  <r>
    <s v="January_2025.xlsx"/>
    <x v="22"/>
    <x v="191"/>
    <x v="190"/>
    <x v="191"/>
    <x v="191"/>
    <x v="190"/>
    <x v="191"/>
    <x v="4"/>
  </r>
  <r>
    <s v="January_2025.xlsx"/>
    <x v="23"/>
    <x v="192"/>
    <x v="191"/>
    <x v="192"/>
    <x v="192"/>
    <x v="191"/>
    <x v="192"/>
    <x v="4"/>
  </r>
  <r>
    <s v="January_2025.xlsx"/>
    <x v="24"/>
    <x v="193"/>
    <x v="192"/>
    <x v="193"/>
    <x v="193"/>
    <x v="192"/>
    <x v="193"/>
    <x v="4"/>
  </r>
  <r>
    <s v="January_2025.xlsx"/>
    <x v="25"/>
    <x v="194"/>
    <x v="193"/>
    <x v="194"/>
    <x v="194"/>
    <x v="193"/>
    <x v="194"/>
    <x v="4"/>
  </r>
  <r>
    <s v="January_2025.xlsx"/>
    <x v="26"/>
    <x v="195"/>
    <x v="194"/>
    <x v="195"/>
    <x v="195"/>
    <x v="194"/>
    <x v="195"/>
    <x v="4"/>
  </r>
  <r>
    <s v="January_2025.xlsx"/>
    <x v="27"/>
    <x v="196"/>
    <x v="195"/>
    <x v="196"/>
    <x v="196"/>
    <x v="195"/>
    <x v="196"/>
    <x v="4"/>
  </r>
  <r>
    <s v="January_2025.xlsx"/>
    <x v="28"/>
    <x v="197"/>
    <x v="196"/>
    <x v="197"/>
    <x v="197"/>
    <x v="196"/>
    <x v="197"/>
    <x v="4"/>
  </r>
  <r>
    <s v="January_2025.xlsx"/>
    <x v="29"/>
    <x v="198"/>
    <x v="197"/>
    <x v="198"/>
    <x v="198"/>
    <x v="197"/>
    <x v="198"/>
    <x v="4"/>
  </r>
  <r>
    <s v="January_2025.xlsx"/>
    <x v="30"/>
    <x v="199"/>
    <x v="198"/>
    <x v="199"/>
    <x v="199"/>
    <x v="198"/>
    <x v="199"/>
    <x v="4"/>
  </r>
  <r>
    <s v="January_2025.xlsx"/>
    <x v="31"/>
    <x v="200"/>
    <x v="199"/>
    <x v="200"/>
    <x v="200"/>
    <x v="199"/>
    <x v="200"/>
    <x v="4"/>
  </r>
  <r>
    <s v="January_2025.xlsx"/>
    <x v="32"/>
    <x v="201"/>
    <x v="200"/>
    <x v="201"/>
    <x v="201"/>
    <x v="200"/>
    <x v="201"/>
    <x v="4"/>
  </r>
  <r>
    <s v="January_2025.xlsx"/>
    <x v="33"/>
    <x v="202"/>
    <x v="201"/>
    <x v="202"/>
    <x v="202"/>
    <x v="201"/>
    <x v="202"/>
    <x v="4"/>
  </r>
  <r>
    <s v="January_2025.xlsx"/>
    <x v="34"/>
    <x v="203"/>
    <x v="202"/>
    <x v="203"/>
    <x v="203"/>
    <x v="202"/>
    <x v="203"/>
    <x v="4"/>
  </r>
  <r>
    <s v="January_2025.xlsx"/>
    <x v="35"/>
    <x v="204"/>
    <x v="203"/>
    <x v="204"/>
    <x v="204"/>
    <x v="203"/>
    <x v="204"/>
    <x v="4"/>
  </r>
  <r>
    <s v="January_2025.xlsx"/>
    <x v="36"/>
    <x v="205"/>
    <x v="204"/>
    <x v="205"/>
    <x v="205"/>
    <x v="204"/>
    <x v="205"/>
    <x v="4"/>
  </r>
  <r>
    <s v="January_2025.xlsx"/>
    <x v="37"/>
    <x v="206"/>
    <x v="205"/>
    <x v="206"/>
    <x v="206"/>
    <x v="205"/>
    <x v="206"/>
    <x v="4"/>
  </r>
  <r>
    <s v="January_2025.xlsx"/>
    <x v="38"/>
    <x v="207"/>
    <x v="206"/>
    <x v="207"/>
    <x v="207"/>
    <x v="206"/>
    <x v="207"/>
    <x v="4"/>
  </r>
  <r>
    <s v="January_2025.xlsx"/>
    <x v="39"/>
    <x v="208"/>
    <x v="207"/>
    <x v="208"/>
    <x v="208"/>
    <x v="207"/>
    <x v="208"/>
    <x v="4"/>
  </r>
  <r>
    <s v="January_2025.xlsx"/>
    <x v="40"/>
    <x v="209"/>
    <x v="208"/>
    <x v="209"/>
    <x v="209"/>
    <x v="208"/>
    <x v="209"/>
    <x v="4"/>
  </r>
  <r>
    <s v="January_2025.xlsx"/>
    <x v="41"/>
    <x v="210"/>
    <x v="209"/>
    <x v="210"/>
    <x v="210"/>
    <x v="209"/>
    <x v="210"/>
    <x v="4"/>
  </r>
  <r>
    <s v="July_2025.xlsx"/>
    <x v="0"/>
    <x v="211"/>
    <x v="210"/>
    <x v="211"/>
    <x v="211"/>
    <x v="210"/>
    <x v="211"/>
    <x v="5"/>
  </r>
  <r>
    <s v="July_2025.xlsx"/>
    <x v="1"/>
    <x v="212"/>
    <x v="211"/>
    <x v="212"/>
    <x v="212"/>
    <x v="211"/>
    <x v="212"/>
    <x v="5"/>
  </r>
  <r>
    <s v="July_2025.xlsx"/>
    <x v="2"/>
    <x v="213"/>
    <x v="212"/>
    <x v="213"/>
    <x v="213"/>
    <x v="212"/>
    <x v="213"/>
    <x v="5"/>
  </r>
  <r>
    <s v="July_2025.xlsx"/>
    <x v="3"/>
    <x v="214"/>
    <x v="213"/>
    <x v="214"/>
    <x v="214"/>
    <x v="213"/>
    <x v="214"/>
    <x v="5"/>
  </r>
  <r>
    <s v="July_2025.xlsx"/>
    <x v="4"/>
    <x v="215"/>
    <x v="214"/>
    <x v="215"/>
    <x v="215"/>
    <x v="214"/>
    <x v="215"/>
    <x v="5"/>
  </r>
  <r>
    <s v="July_2025.xlsx"/>
    <x v="5"/>
    <x v="216"/>
    <x v="215"/>
    <x v="216"/>
    <x v="216"/>
    <x v="215"/>
    <x v="216"/>
    <x v="5"/>
  </r>
  <r>
    <s v="July_2025.xlsx"/>
    <x v="6"/>
    <x v="217"/>
    <x v="216"/>
    <x v="217"/>
    <x v="217"/>
    <x v="216"/>
    <x v="217"/>
    <x v="5"/>
  </r>
  <r>
    <s v="July_2025.xlsx"/>
    <x v="7"/>
    <x v="218"/>
    <x v="217"/>
    <x v="218"/>
    <x v="218"/>
    <x v="217"/>
    <x v="218"/>
    <x v="5"/>
  </r>
  <r>
    <s v="July_2025.xlsx"/>
    <x v="8"/>
    <x v="219"/>
    <x v="218"/>
    <x v="219"/>
    <x v="219"/>
    <x v="218"/>
    <x v="219"/>
    <x v="5"/>
  </r>
  <r>
    <s v="July_2025.xlsx"/>
    <x v="9"/>
    <x v="220"/>
    <x v="219"/>
    <x v="220"/>
    <x v="220"/>
    <x v="219"/>
    <x v="220"/>
    <x v="5"/>
  </r>
  <r>
    <s v="July_2025.xlsx"/>
    <x v="10"/>
    <x v="221"/>
    <x v="10"/>
    <x v="221"/>
    <x v="221"/>
    <x v="220"/>
    <x v="221"/>
    <x v="5"/>
  </r>
  <r>
    <s v="July_2025.xlsx"/>
    <x v="11"/>
    <x v="222"/>
    <x v="220"/>
    <x v="222"/>
    <x v="222"/>
    <x v="221"/>
    <x v="222"/>
    <x v="5"/>
  </r>
  <r>
    <s v="July_2025.xlsx"/>
    <x v="12"/>
    <x v="223"/>
    <x v="221"/>
    <x v="223"/>
    <x v="223"/>
    <x v="222"/>
    <x v="223"/>
    <x v="5"/>
  </r>
  <r>
    <s v="July_2025.xlsx"/>
    <x v="13"/>
    <x v="224"/>
    <x v="222"/>
    <x v="224"/>
    <x v="224"/>
    <x v="223"/>
    <x v="224"/>
    <x v="5"/>
  </r>
  <r>
    <s v="July_2025.xlsx"/>
    <x v="14"/>
    <x v="225"/>
    <x v="223"/>
    <x v="225"/>
    <x v="225"/>
    <x v="224"/>
    <x v="225"/>
    <x v="5"/>
  </r>
  <r>
    <s v="July_2025.xlsx"/>
    <x v="15"/>
    <x v="226"/>
    <x v="224"/>
    <x v="226"/>
    <x v="226"/>
    <x v="225"/>
    <x v="226"/>
    <x v="5"/>
  </r>
  <r>
    <s v="July_2025.xlsx"/>
    <x v="16"/>
    <x v="227"/>
    <x v="225"/>
    <x v="227"/>
    <x v="227"/>
    <x v="226"/>
    <x v="227"/>
    <x v="5"/>
  </r>
  <r>
    <s v="July_2025.xlsx"/>
    <x v="17"/>
    <x v="228"/>
    <x v="226"/>
    <x v="228"/>
    <x v="228"/>
    <x v="227"/>
    <x v="228"/>
    <x v="5"/>
  </r>
  <r>
    <s v="July_2025.xlsx"/>
    <x v="18"/>
    <x v="229"/>
    <x v="227"/>
    <x v="229"/>
    <x v="229"/>
    <x v="228"/>
    <x v="229"/>
    <x v="5"/>
  </r>
  <r>
    <s v="July_2025.xlsx"/>
    <x v="19"/>
    <x v="230"/>
    <x v="228"/>
    <x v="230"/>
    <x v="230"/>
    <x v="229"/>
    <x v="230"/>
    <x v="5"/>
  </r>
  <r>
    <s v="July_2025.xlsx"/>
    <x v="20"/>
    <x v="231"/>
    <x v="229"/>
    <x v="231"/>
    <x v="231"/>
    <x v="230"/>
    <x v="231"/>
    <x v="5"/>
  </r>
  <r>
    <s v="July_2025.xlsx"/>
    <x v="21"/>
    <x v="232"/>
    <x v="230"/>
    <x v="232"/>
    <x v="232"/>
    <x v="231"/>
    <x v="232"/>
    <x v="5"/>
  </r>
  <r>
    <s v="July_2025.xlsx"/>
    <x v="22"/>
    <x v="233"/>
    <x v="231"/>
    <x v="233"/>
    <x v="233"/>
    <x v="232"/>
    <x v="233"/>
    <x v="5"/>
  </r>
  <r>
    <s v="July_2025.xlsx"/>
    <x v="23"/>
    <x v="234"/>
    <x v="232"/>
    <x v="234"/>
    <x v="234"/>
    <x v="233"/>
    <x v="234"/>
    <x v="5"/>
  </r>
  <r>
    <s v="July_2025.xlsx"/>
    <x v="24"/>
    <x v="235"/>
    <x v="233"/>
    <x v="235"/>
    <x v="235"/>
    <x v="234"/>
    <x v="235"/>
    <x v="5"/>
  </r>
  <r>
    <s v="July_2025.xlsx"/>
    <x v="25"/>
    <x v="236"/>
    <x v="234"/>
    <x v="236"/>
    <x v="236"/>
    <x v="235"/>
    <x v="236"/>
    <x v="5"/>
  </r>
  <r>
    <s v="July_2025.xlsx"/>
    <x v="26"/>
    <x v="237"/>
    <x v="235"/>
    <x v="237"/>
    <x v="237"/>
    <x v="236"/>
    <x v="237"/>
    <x v="5"/>
  </r>
  <r>
    <s v="July_2025.xlsx"/>
    <x v="27"/>
    <x v="238"/>
    <x v="236"/>
    <x v="238"/>
    <x v="238"/>
    <x v="237"/>
    <x v="238"/>
    <x v="5"/>
  </r>
  <r>
    <s v="July_2025.xlsx"/>
    <x v="28"/>
    <x v="239"/>
    <x v="237"/>
    <x v="239"/>
    <x v="239"/>
    <x v="238"/>
    <x v="239"/>
    <x v="5"/>
  </r>
  <r>
    <s v="July_2025.xlsx"/>
    <x v="29"/>
    <x v="240"/>
    <x v="238"/>
    <x v="240"/>
    <x v="240"/>
    <x v="239"/>
    <x v="240"/>
    <x v="5"/>
  </r>
  <r>
    <s v="July_2025.xlsx"/>
    <x v="30"/>
    <x v="241"/>
    <x v="239"/>
    <x v="241"/>
    <x v="241"/>
    <x v="240"/>
    <x v="241"/>
    <x v="5"/>
  </r>
  <r>
    <s v="July_2025.xlsx"/>
    <x v="31"/>
    <x v="242"/>
    <x v="240"/>
    <x v="242"/>
    <x v="242"/>
    <x v="241"/>
    <x v="242"/>
    <x v="5"/>
  </r>
  <r>
    <s v="July_2025.xlsx"/>
    <x v="32"/>
    <x v="243"/>
    <x v="241"/>
    <x v="243"/>
    <x v="243"/>
    <x v="242"/>
    <x v="243"/>
    <x v="5"/>
  </r>
  <r>
    <s v="July_2025.xlsx"/>
    <x v="33"/>
    <x v="244"/>
    <x v="242"/>
    <x v="244"/>
    <x v="244"/>
    <x v="243"/>
    <x v="244"/>
    <x v="5"/>
  </r>
  <r>
    <s v="July_2025.xlsx"/>
    <x v="34"/>
    <x v="245"/>
    <x v="243"/>
    <x v="245"/>
    <x v="245"/>
    <x v="244"/>
    <x v="245"/>
    <x v="5"/>
  </r>
  <r>
    <s v="July_2025.xlsx"/>
    <x v="35"/>
    <x v="246"/>
    <x v="244"/>
    <x v="246"/>
    <x v="246"/>
    <x v="245"/>
    <x v="246"/>
    <x v="5"/>
  </r>
  <r>
    <s v="July_2025.xlsx"/>
    <x v="36"/>
    <x v="247"/>
    <x v="245"/>
    <x v="247"/>
    <x v="247"/>
    <x v="246"/>
    <x v="247"/>
    <x v="5"/>
  </r>
  <r>
    <s v="July_2025.xlsx"/>
    <x v="37"/>
    <x v="248"/>
    <x v="246"/>
    <x v="248"/>
    <x v="248"/>
    <x v="247"/>
    <x v="248"/>
    <x v="5"/>
  </r>
  <r>
    <s v="July_2025.xlsx"/>
    <x v="38"/>
    <x v="249"/>
    <x v="247"/>
    <x v="249"/>
    <x v="249"/>
    <x v="248"/>
    <x v="249"/>
    <x v="5"/>
  </r>
  <r>
    <s v="July_2025.xlsx"/>
    <x v="39"/>
    <x v="250"/>
    <x v="248"/>
    <x v="250"/>
    <x v="250"/>
    <x v="249"/>
    <x v="250"/>
    <x v="5"/>
  </r>
  <r>
    <s v="July_2025.xlsx"/>
    <x v="40"/>
    <x v="251"/>
    <x v="249"/>
    <x v="251"/>
    <x v="251"/>
    <x v="250"/>
    <x v="251"/>
    <x v="5"/>
  </r>
  <r>
    <s v="July_2025.xlsx"/>
    <x v="41"/>
    <x v="252"/>
    <x v="250"/>
    <x v="252"/>
    <x v="252"/>
    <x v="251"/>
    <x v="252"/>
    <x v="5"/>
  </r>
  <r>
    <s v="July_2025.xlsx"/>
    <x v="42"/>
    <x v="42"/>
    <x v="42"/>
    <x v="42"/>
    <x v="42"/>
    <x v="42"/>
    <x v="42"/>
    <x v="5"/>
  </r>
  <r>
    <s v="July_2025.xlsx"/>
    <x v="42"/>
    <x v="42"/>
    <x v="42"/>
    <x v="42"/>
    <x v="42"/>
    <x v="42"/>
    <x v="42"/>
    <x v="5"/>
  </r>
  <r>
    <s v="June_2025.xlsx"/>
    <x v="0"/>
    <x v="253"/>
    <x v="251"/>
    <x v="253"/>
    <x v="253"/>
    <x v="252"/>
    <x v="253"/>
    <x v="6"/>
  </r>
  <r>
    <s v="June_2025.xlsx"/>
    <x v="1"/>
    <x v="254"/>
    <x v="252"/>
    <x v="254"/>
    <x v="254"/>
    <x v="253"/>
    <x v="254"/>
    <x v="6"/>
  </r>
  <r>
    <s v="June_2025.xlsx"/>
    <x v="2"/>
    <x v="255"/>
    <x v="253"/>
    <x v="255"/>
    <x v="255"/>
    <x v="254"/>
    <x v="255"/>
    <x v="6"/>
  </r>
  <r>
    <s v="June_2025.xlsx"/>
    <x v="3"/>
    <x v="256"/>
    <x v="254"/>
    <x v="256"/>
    <x v="256"/>
    <x v="255"/>
    <x v="256"/>
    <x v="6"/>
  </r>
  <r>
    <s v="June_2025.xlsx"/>
    <x v="4"/>
    <x v="257"/>
    <x v="255"/>
    <x v="257"/>
    <x v="257"/>
    <x v="256"/>
    <x v="257"/>
    <x v="6"/>
  </r>
  <r>
    <s v="June_2025.xlsx"/>
    <x v="5"/>
    <x v="258"/>
    <x v="256"/>
    <x v="258"/>
    <x v="258"/>
    <x v="257"/>
    <x v="258"/>
    <x v="6"/>
  </r>
  <r>
    <s v="June_2025.xlsx"/>
    <x v="6"/>
    <x v="259"/>
    <x v="257"/>
    <x v="259"/>
    <x v="259"/>
    <x v="258"/>
    <x v="259"/>
    <x v="6"/>
  </r>
  <r>
    <s v="June_2025.xlsx"/>
    <x v="7"/>
    <x v="260"/>
    <x v="258"/>
    <x v="260"/>
    <x v="260"/>
    <x v="259"/>
    <x v="260"/>
    <x v="6"/>
  </r>
  <r>
    <s v="June_2025.xlsx"/>
    <x v="8"/>
    <x v="261"/>
    <x v="259"/>
    <x v="261"/>
    <x v="261"/>
    <x v="260"/>
    <x v="261"/>
    <x v="6"/>
  </r>
  <r>
    <s v="June_2025.xlsx"/>
    <x v="9"/>
    <x v="262"/>
    <x v="228"/>
    <x v="262"/>
    <x v="262"/>
    <x v="261"/>
    <x v="262"/>
    <x v="6"/>
  </r>
  <r>
    <s v="June_2025.xlsx"/>
    <x v="10"/>
    <x v="263"/>
    <x v="10"/>
    <x v="263"/>
    <x v="263"/>
    <x v="262"/>
    <x v="263"/>
    <x v="6"/>
  </r>
  <r>
    <s v="June_2025.xlsx"/>
    <x v="11"/>
    <x v="264"/>
    <x v="260"/>
    <x v="264"/>
    <x v="264"/>
    <x v="263"/>
    <x v="264"/>
    <x v="6"/>
  </r>
  <r>
    <s v="June_2025.xlsx"/>
    <x v="12"/>
    <x v="265"/>
    <x v="261"/>
    <x v="265"/>
    <x v="265"/>
    <x v="264"/>
    <x v="265"/>
    <x v="6"/>
  </r>
  <r>
    <s v="June_2025.xlsx"/>
    <x v="13"/>
    <x v="266"/>
    <x v="262"/>
    <x v="266"/>
    <x v="266"/>
    <x v="265"/>
    <x v="266"/>
    <x v="6"/>
  </r>
  <r>
    <s v="June_2025.xlsx"/>
    <x v="14"/>
    <x v="267"/>
    <x v="263"/>
    <x v="267"/>
    <x v="267"/>
    <x v="266"/>
    <x v="267"/>
    <x v="6"/>
  </r>
  <r>
    <s v="June_2025.xlsx"/>
    <x v="15"/>
    <x v="268"/>
    <x v="264"/>
    <x v="268"/>
    <x v="268"/>
    <x v="267"/>
    <x v="268"/>
    <x v="6"/>
  </r>
  <r>
    <s v="June_2025.xlsx"/>
    <x v="16"/>
    <x v="269"/>
    <x v="265"/>
    <x v="269"/>
    <x v="269"/>
    <x v="268"/>
    <x v="269"/>
    <x v="6"/>
  </r>
  <r>
    <s v="June_2025.xlsx"/>
    <x v="17"/>
    <x v="270"/>
    <x v="266"/>
    <x v="270"/>
    <x v="270"/>
    <x v="269"/>
    <x v="270"/>
    <x v="6"/>
  </r>
  <r>
    <s v="June_2025.xlsx"/>
    <x v="18"/>
    <x v="271"/>
    <x v="267"/>
    <x v="271"/>
    <x v="271"/>
    <x v="270"/>
    <x v="271"/>
    <x v="6"/>
  </r>
  <r>
    <s v="June_2025.xlsx"/>
    <x v="19"/>
    <x v="272"/>
    <x v="268"/>
    <x v="272"/>
    <x v="272"/>
    <x v="271"/>
    <x v="272"/>
    <x v="6"/>
  </r>
  <r>
    <s v="June_2025.xlsx"/>
    <x v="20"/>
    <x v="273"/>
    <x v="269"/>
    <x v="273"/>
    <x v="273"/>
    <x v="272"/>
    <x v="273"/>
    <x v="6"/>
  </r>
  <r>
    <s v="June_2025.xlsx"/>
    <x v="21"/>
    <x v="274"/>
    <x v="270"/>
    <x v="274"/>
    <x v="274"/>
    <x v="273"/>
    <x v="274"/>
    <x v="6"/>
  </r>
  <r>
    <s v="June_2025.xlsx"/>
    <x v="22"/>
    <x v="275"/>
    <x v="271"/>
    <x v="275"/>
    <x v="275"/>
    <x v="274"/>
    <x v="275"/>
    <x v="6"/>
  </r>
  <r>
    <s v="June_2025.xlsx"/>
    <x v="23"/>
    <x v="276"/>
    <x v="272"/>
    <x v="276"/>
    <x v="276"/>
    <x v="275"/>
    <x v="276"/>
    <x v="6"/>
  </r>
  <r>
    <s v="June_2025.xlsx"/>
    <x v="24"/>
    <x v="277"/>
    <x v="273"/>
    <x v="277"/>
    <x v="277"/>
    <x v="276"/>
    <x v="277"/>
    <x v="6"/>
  </r>
  <r>
    <s v="June_2025.xlsx"/>
    <x v="25"/>
    <x v="278"/>
    <x v="274"/>
    <x v="278"/>
    <x v="278"/>
    <x v="277"/>
    <x v="278"/>
    <x v="6"/>
  </r>
  <r>
    <s v="June_2025.xlsx"/>
    <x v="26"/>
    <x v="279"/>
    <x v="275"/>
    <x v="279"/>
    <x v="279"/>
    <x v="278"/>
    <x v="279"/>
    <x v="6"/>
  </r>
  <r>
    <s v="June_2025.xlsx"/>
    <x v="27"/>
    <x v="280"/>
    <x v="276"/>
    <x v="280"/>
    <x v="280"/>
    <x v="279"/>
    <x v="280"/>
    <x v="6"/>
  </r>
  <r>
    <s v="June_2025.xlsx"/>
    <x v="28"/>
    <x v="281"/>
    <x v="277"/>
    <x v="281"/>
    <x v="281"/>
    <x v="280"/>
    <x v="281"/>
    <x v="6"/>
  </r>
  <r>
    <s v="June_2025.xlsx"/>
    <x v="29"/>
    <x v="282"/>
    <x v="278"/>
    <x v="282"/>
    <x v="282"/>
    <x v="281"/>
    <x v="282"/>
    <x v="6"/>
  </r>
  <r>
    <s v="June_2025.xlsx"/>
    <x v="30"/>
    <x v="283"/>
    <x v="279"/>
    <x v="283"/>
    <x v="283"/>
    <x v="282"/>
    <x v="283"/>
    <x v="6"/>
  </r>
  <r>
    <s v="June_2025.xlsx"/>
    <x v="31"/>
    <x v="284"/>
    <x v="280"/>
    <x v="284"/>
    <x v="284"/>
    <x v="283"/>
    <x v="284"/>
    <x v="6"/>
  </r>
  <r>
    <s v="June_2025.xlsx"/>
    <x v="32"/>
    <x v="285"/>
    <x v="281"/>
    <x v="285"/>
    <x v="285"/>
    <x v="284"/>
    <x v="285"/>
    <x v="6"/>
  </r>
  <r>
    <s v="June_2025.xlsx"/>
    <x v="33"/>
    <x v="286"/>
    <x v="282"/>
    <x v="286"/>
    <x v="286"/>
    <x v="285"/>
    <x v="286"/>
    <x v="6"/>
  </r>
  <r>
    <s v="June_2025.xlsx"/>
    <x v="34"/>
    <x v="287"/>
    <x v="283"/>
    <x v="287"/>
    <x v="287"/>
    <x v="286"/>
    <x v="287"/>
    <x v="6"/>
  </r>
  <r>
    <s v="June_2025.xlsx"/>
    <x v="35"/>
    <x v="288"/>
    <x v="284"/>
    <x v="288"/>
    <x v="288"/>
    <x v="287"/>
    <x v="288"/>
    <x v="6"/>
  </r>
  <r>
    <s v="June_2025.xlsx"/>
    <x v="36"/>
    <x v="289"/>
    <x v="285"/>
    <x v="289"/>
    <x v="289"/>
    <x v="288"/>
    <x v="289"/>
    <x v="6"/>
  </r>
  <r>
    <s v="June_2025.xlsx"/>
    <x v="37"/>
    <x v="290"/>
    <x v="286"/>
    <x v="290"/>
    <x v="290"/>
    <x v="289"/>
    <x v="290"/>
    <x v="6"/>
  </r>
  <r>
    <s v="June_2025.xlsx"/>
    <x v="38"/>
    <x v="291"/>
    <x v="287"/>
    <x v="291"/>
    <x v="291"/>
    <x v="290"/>
    <x v="291"/>
    <x v="6"/>
  </r>
  <r>
    <s v="June_2025.xlsx"/>
    <x v="39"/>
    <x v="292"/>
    <x v="288"/>
    <x v="292"/>
    <x v="292"/>
    <x v="291"/>
    <x v="292"/>
    <x v="6"/>
  </r>
  <r>
    <s v="June_2025.xlsx"/>
    <x v="40"/>
    <x v="293"/>
    <x v="289"/>
    <x v="293"/>
    <x v="293"/>
    <x v="292"/>
    <x v="293"/>
    <x v="6"/>
  </r>
  <r>
    <s v="June_2025.xlsx"/>
    <x v="41"/>
    <x v="294"/>
    <x v="290"/>
    <x v="294"/>
    <x v="294"/>
    <x v="293"/>
    <x v="294"/>
    <x v="6"/>
  </r>
  <r>
    <s v="June_2025.xlsx"/>
    <x v="42"/>
    <x v="42"/>
    <x v="42"/>
    <x v="42"/>
    <x v="42"/>
    <x v="42"/>
    <x v="42"/>
    <x v="6"/>
  </r>
  <r>
    <s v="June_2025.xlsx"/>
    <x v="42"/>
    <x v="42"/>
    <x v="42"/>
    <x v="42"/>
    <x v="42"/>
    <x v="42"/>
    <x v="42"/>
    <x v="6"/>
  </r>
  <r>
    <s v="March_2025.xlsx"/>
    <x v="0"/>
    <x v="295"/>
    <x v="291"/>
    <x v="295"/>
    <x v="295"/>
    <x v="294"/>
    <x v="295"/>
    <x v="7"/>
  </r>
  <r>
    <s v="March_2025.xlsx"/>
    <x v="1"/>
    <x v="296"/>
    <x v="292"/>
    <x v="296"/>
    <x v="296"/>
    <x v="295"/>
    <x v="296"/>
    <x v="7"/>
  </r>
  <r>
    <s v="March_2025.xlsx"/>
    <x v="2"/>
    <x v="297"/>
    <x v="293"/>
    <x v="297"/>
    <x v="297"/>
    <x v="296"/>
    <x v="297"/>
    <x v="7"/>
  </r>
  <r>
    <s v="March_2025.xlsx"/>
    <x v="3"/>
    <x v="298"/>
    <x v="294"/>
    <x v="298"/>
    <x v="298"/>
    <x v="297"/>
    <x v="298"/>
    <x v="7"/>
  </r>
  <r>
    <s v="March_2025.xlsx"/>
    <x v="4"/>
    <x v="299"/>
    <x v="295"/>
    <x v="299"/>
    <x v="299"/>
    <x v="298"/>
    <x v="4"/>
    <x v="7"/>
  </r>
  <r>
    <s v="March_2025.xlsx"/>
    <x v="5"/>
    <x v="300"/>
    <x v="296"/>
    <x v="300"/>
    <x v="300"/>
    <x v="299"/>
    <x v="5"/>
    <x v="7"/>
  </r>
  <r>
    <s v="March_2025.xlsx"/>
    <x v="6"/>
    <x v="301"/>
    <x v="297"/>
    <x v="301"/>
    <x v="301"/>
    <x v="300"/>
    <x v="6"/>
    <x v="7"/>
  </r>
  <r>
    <s v="March_2025.xlsx"/>
    <x v="7"/>
    <x v="302"/>
    <x v="298"/>
    <x v="302"/>
    <x v="302"/>
    <x v="301"/>
    <x v="7"/>
    <x v="7"/>
  </r>
  <r>
    <s v="March_2025.xlsx"/>
    <x v="8"/>
    <x v="303"/>
    <x v="299"/>
    <x v="303"/>
    <x v="303"/>
    <x v="302"/>
    <x v="8"/>
    <x v="7"/>
  </r>
  <r>
    <s v="March_2025.xlsx"/>
    <x v="9"/>
    <x v="304"/>
    <x v="300"/>
    <x v="304"/>
    <x v="304"/>
    <x v="303"/>
    <x v="9"/>
    <x v="7"/>
  </r>
  <r>
    <s v="March_2025.xlsx"/>
    <x v="10"/>
    <x v="10"/>
    <x v="301"/>
    <x v="305"/>
    <x v="305"/>
    <x v="304"/>
    <x v="10"/>
    <x v="7"/>
  </r>
  <r>
    <s v="March_2025.xlsx"/>
    <x v="11"/>
    <x v="305"/>
    <x v="302"/>
    <x v="306"/>
    <x v="306"/>
    <x v="305"/>
    <x v="299"/>
    <x v="7"/>
  </r>
  <r>
    <s v="March_2025.xlsx"/>
    <x v="12"/>
    <x v="306"/>
    <x v="303"/>
    <x v="307"/>
    <x v="307"/>
    <x v="306"/>
    <x v="300"/>
    <x v="7"/>
  </r>
  <r>
    <s v="March_2025.xlsx"/>
    <x v="13"/>
    <x v="307"/>
    <x v="304"/>
    <x v="308"/>
    <x v="308"/>
    <x v="307"/>
    <x v="301"/>
    <x v="7"/>
  </r>
  <r>
    <s v="March_2025.xlsx"/>
    <x v="14"/>
    <x v="308"/>
    <x v="305"/>
    <x v="309"/>
    <x v="309"/>
    <x v="308"/>
    <x v="302"/>
    <x v="7"/>
  </r>
  <r>
    <s v="March_2025.xlsx"/>
    <x v="15"/>
    <x v="309"/>
    <x v="306"/>
    <x v="310"/>
    <x v="310"/>
    <x v="309"/>
    <x v="303"/>
    <x v="7"/>
  </r>
  <r>
    <s v="March_2025.xlsx"/>
    <x v="16"/>
    <x v="310"/>
    <x v="307"/>
    <x v="311"/>
    <x v="311"/>
    <x v="310"/>
    <x v="304"/>
    <x v="7"/>
  </r>
  <r>
    <s v="March_2025.xlsx"/>
    <x v="17"/>
    <x v="311"/>
    <x v="308"/>
    <x v="312"/>
    <x v="312"/>
    <x v="311"/>
    <x v="305"/>
    <x v="7"/>
  </r>
  <r>
    <s v="March_2025.xlsx"/>
    <x v="18"/>
    <x v="312"/>
    <x v="309"/>
    <x v="313"/>
    <x v="313"/>
    <x v="312"/>
    <x v="306"/>
    <x v="7"/>
  </r>
  <r>
    <s v="March_2025.xlsx"/>
    <x v="19"/>
    <x v="313"/>
    <x v="310"/>
    <x v="314"/>
    <x v="314"/>
    <x v="313"/>
    <x v="307"/>
    <x v="7"/>
  </r>
  <r>
    <s v="March_2025.xlsx"/>
    <x v="20"/>
    <x v="314"/>
    <x v="311"/>
    <x v="315"/>
    <x v="315"/>
    <x v="314"/>
    <x v="308"/>
    <x v="7"/>
  </r>
  <r>
    <s v="March_2025.xlsx"/>
    <x v="21"/>
    <x v="315"/>
    <x v="312"/>
    <x v="316"/>
    <x v="316"/>
    <x v="315"/>
    <x v="309"/>
    <x v="7"/>
  </r>
  <r>
    <s v="March_2025.xlsx"/>
    <x v="22"/>
    <x v="316"/>
    <x v="313"/>
    <x v="317"/>
    <x v="317"/>
    <x v="316"/>
    <x v="310"/>
    <x v="7"/>
  </r>
  <r>
    <s v="March_2025.xlsx"/>
    <x v="23"/>
    <x v="317"/>
    <x v="314"/>
    <x v="318"/>
    <x v="318"/>
    <x v="317"/>
    <x v="311"/>
    <x v="7"/>
  </r>
  <r>
    <s v="March_2025.xlsx"/>
    <x v="24"/>
    <x v="318"/>
    <x v="315"/>
    <x v="319"/>
    <x v="319"/>
    <x v="318"/>
    <x v="312"/>
    <x v="7"/>
  </r>
  <r>
    <s v="March_2025.xlsx"/>
    <x v="25"/>
    <x v="319"/>
    <x v="316"/>
    <x v="320"/>
    <x v="320"/>
    <x v="319"/>
    <x v="313"/>
    <x v="7"/>
  </r>
  <r>
    <s v="March_2025.xlsx"/>
    <x v="26"/>
    <x v="320"/>
    <x v="317"/>
    <x v="321"/>
    <x v="321"/>
    <x v="320"/>
    <x v="314"/>
    <x v="7"/>
  </r>
  <r>
    <s v="March_2025.xlsx"/>
    <x v="27"/>
    <x v="321"/>
    <x v="318"/>
    <x v="322"/>
    <x v="322"/>
    <x v="321"/>
    <x v="315"/>
    <x v="7"/>
  </r>
  <r>
    <s v="March_2025.xlsx"/>
    <x v="28"/>
    <x v="322"/>
    <x v="319"/>
    <x v="323"/>
    <x v="323"/>
    <x v="322"/>
    <x v="316"/>
    <x v="7"/>
  </r>
  <r>
    <s v="March_2025.xlsx"/>
    <x v="29"/>
    <x v="323"/>
    <x v="320"/>
    <x v="324"/>
    <x v="324"/>
    <x v="323"/>
    <x v="317"/>
    <x v="7"/>
  </r>
  <r>
    <s v="March_2025.xlsx"/>
    <x v="30"/>
    <x v="324"/>
    <x v="321"/>
    <x v="325"/>
    <x v="325"/>
    <x v="324"/>
    <x v="318"/>
    <x v="7"/>
  </r>
  <r>
    <s v="March_2025.xlsx"/>
    <x v="31"/>
    <x v="325"/>
    <x v="322"/>
    <x v="326"/>
    <x v="326"/>
    <x v="325"/>
    <x v="319"/>
    <x v="7"/>
  </r>
  <r>
    <s v="March_2025.xlsx"/>
    <x v="32"/>
    <x v="326"/>
    <x v="323"/>
    <x v="327"/>
    <x v="327"/>
    <x v="326"/>
    <x v="320"/>
    <x v="7"/>
  </r>
  <r>
    <s v="March_2025.xlsx"/>
    <x v="33"/>
    <x v="327"/>
    <x v="324"/>
    <x v="328"/>
    <x v="328"/>
    <x v="327"/>
    <x v="321"/>
    <x v="7"/>
  </r>
  <r>
    <s v="March_2025.xlsx"/>
    <x v="34"/>
    <x v="328"/>
    <x v="325"/>
    <x v="329"/>
    <x v="329"/>
    <x v="328"/>
    <x v="322"/>
    <x v="7"/>
  </r>
  <r>
    <s v="March_2025.xlsx"/>
    <x v="35"/>
    <x v="329"/>
    <x v="326"/>
    <x v="330"/>
    <x v="330"/>
    <x v="329"/>
    <x v="323"/>
    <x v="7"/>
  </r>
  <r>
    <s v="March_2025.xlsx"/>
    <x v="36"/>
    <x v="330"/>
    <x v="327"/>
    <x v="331"/>
    <x v="331"/>
    <x v="330"/>
    <x v="324"/>
    <x v="7"/>
  </r>
  <r>
    <s v="March_2025.xlsx"/>
    <x v="37"/>
    <x v="331"/>
    <x v="328"/>
    <x v="332"/>
    <x v="332"/>
    <x v="331"/>
    <x v="325"/>
    <x v="7"/>
  </r>
  <r>
    <s v="March_2025.xlsx"/>
    <x v="38"/>
    <x v="332"/>
    <x v="329"/>
    <x v="333"/>
    <x v="333"/>
    <x v="332"/>
    <x v="326"/>
    <x v="7"/>
  </r>
  <r>
    <s v="March_2025.xlsx"/>
    <x v="39"/>
    <x v="333"/>
    <x v="330"/>
    <x v="334"/>
    <x v="334"/>
    <x v="333"/>
    <x v="327"/>
    <x v="7"/>
  </r>
  <r>
    <s v="March_2025.xlsx"/>
    <x v="40"/>
    <x v="334"/>
    <x v="331"/>
    <x v="335"/>
    <x v="335"/>
    <x v="334"/>
    <x v="328"/>
    <x v="7"/>
  </r>
  <r>
    <s v="March_2025.xlsx"/>
    <x v="41"/>
    <x v="335"/>
    <x v="332"/>
    <x v="336"/>
    <x v="336"/>
    <x v="335"/>
    <x v="329"/>
    <x v="7"/>
  </r>
  <r>
    <s v="May_2025.xlsx"/>
    <x v="0"/>
    <x v="336"/>
    <x v="333"/>
    <x v="337"/>
    <x v="337"/>
    <x v="336"/>
    <x v="330"/>
    <x v="8"/>
  </r>
  <r>
    <s v="May_2025.xlsx"/>
    <x v="1"/>
    <x v="337"/>
    <x v="334"/>
    <x v="338"/>
    <x v="338"/>
    <x v="337"/>
    <x v="331"/>
    <x v="8"/>
  </r>
  <r>
    <s v="May_2025.xlsx"/>
    <x v="2"/>
    <x v="338"/>
    <x v="335"/>
    <x v="339"/>
    <x v="339"/>
    <x v="338"/>
    <x v="332"/>
    <x v="8"/>
  </r>
  <r>
    <s v="May_2025.xlsx"/>
    <x v="3"/>
    <x v="339"/>
    <x v="336"/>
    <x v="340"/>
    <x v="340"/>
    <x v="339"/>
    <x v="333"/>
    <x v="8"/>
  </r>
  <r>
    <s v="May_2025.xlsx"/>
    <x v="4"/>
    <x v="340"/>
    <x v="337"/>
    <x v="341"/>
    <x v="341"/>
    <x v="340"/>
    <x v="334"/>
    <x v="8"/>
  </r>
  <r>
    <s v="May_2025.xlsx"/>
    <x v="5"/>
    <x v="341"/>
    <x v="338"/>
    <x v="342"/>
    <x v="342"/>
    <x v="341"/>
    <x v="335"/>
    <x v="8"/>
  </r>
  <r>
    <s v="May_2025.xlsx"/>
    <x v="6"/>
    <x v="342"/>
    <x v="339"/>
    <x v="343"/>
    <x v="343"/>
    <x v="342"/>
    <x v="336"/>
    <x v="8"/>
  </r>
  <r>
    <s v="May_2025.xlsx"/>
    <x v="7"/>
    <x v="343"/>
    <x v="340"/>
    <x v="344"/>
    <x v="344"/>
    <x v="343"/>
    <x v="337"/>
    <x v="8"/>
  </r>
  <r>
    <s v="May_2025.xlsx"/>
    <x v="8"/>
    <x v="344"/>
    <x v="341"/>
    <x v="345"/>
    <x v="345"/>
    <x v="344"/>
    <x v="338"/>
    <x v="8"/>
  </r>
  <r>
    <s v="May_2025.xlsx"/>
    <x v="9"/>
    <x v="345"/>
    <x v="342"/>
    <x v="346"/>
    <x v="346"/>
    <x v="345"/>
    <x v="339"/>
    <x v="8"/>
  </r>
  <r>
    <s v="May_2025.xlsx"/>
    <x v="10"/>
    <x v="346"/>
    <x v="10"/>
    <x v="347"/>
    <x v="347"/>
    <x v="346"/>
    <x v="340"/>
    <x v="8"/>
  </r>
  <r>
    <s v="May_2025.xlsx"/>
    <x v="11"/>
    <x v="347"/>
    <x v="343"/>
    <x v="348"/>
    <x v="348"/>
    <x v="347"/>
    <x v="341"/>
    <x v="8"/>
  </r>
  <r>
    <s v="May_2025.xlsx"/>
    <x v="12"/>
    <x v="348"/>
    <x v="344"/>
    <x v="349"/>
    <x v="349"/>
    <x v="348"/>
    <x v="342"/>
    <x v="8"/>
  </r>
  <r>
    <s v="May_2025.xlsx"/>
    <x v="13"/>
    <x v="349"/>
    <x v="345"/>
    <x v="350"/>
    <x v="350"/>
    <x v="349"/>
    <x v="343"/>
    <x v="8"/>
  </r>
  <r>
    <s v="May_2025.xlsx"/>
    <x v="14"/>
    <x v="350"/>
    <x v="346"/>
    <x v="351"/>
    <x v="351"/>
    <x v="350"/>
    <x v="344"/>
    <x v="8"/>
  </r>
  <r>
    <s v="May_2025.xlsx"/>
    <x v="15"/>
    <x v="351"/>
    <x v="347"/>
    <x v="352"/>
    <x v="352"/>
    <x v="351"/>
    <x v="345"/>
    <x v="8"/>
  </r>
  <r>
    <s v="May_2025.xlsx"/>
    <x v="16"/>
    <x v="352"/>
    <x v="348"/>
    <x v="353"/>
    <x v="353"/>
    <x v="352"/>
    <x v="346"/>
    <x v="8"/>
  </r>
  <r>
    <s v="May_2025.xlsx"/>
    <x v="17"/>
    <x v="353"/>
    <x v="349"/>
    <x v="354"/>
    <x v="354"/>
    <x v="353"/>
    <x v="347"/>
    <x v="8"/>
  </r>
  <r>
    <s v="May_2025.xlsx"/>
    <x v="18"/>
    <x v="354"/>
    <x v="350"/>
    <x v="355"/>
    <x v="355"/>
    <x v="354"/>
    <x v="348"/>
    <x v="8"/>
  </r>
  <r>
    <s v="May_2025.xlsx"/>
    <x v="19"/>
    <x v="355"/>
    <x v="351"/>
    <x v="356"/>
    <x v="356"/>
    <x v="355"/>
    <x v="349"/>
    <x v="8"/>
  </r>
  <r>
    <s v="May_2025.xlsx"/>
    <x v="20"/>
    <x v="356"/>
    <x v="352"/>
    <x v="357"/>
    <x v="357"/>
    <x v="356"/>
    <x v="350"/>
    <x v="8"/>
  </r>
  <r>
    <s v="May_2025.xlsx"/>
    <x v="21"/>
    <x v="357"/>
    <x v="353"/>
    <x v="358"/>
    <x v="358"/>
    <x v="357"/>
    <x v="351"/>
    <x v="8"/>
  </r>
  <r>
    <s v="May_2025.xlsx"/>
    <x v="22"/>
    <x v="358"/>
    <x v="231"/>
    <x v="359"/>
    <x v="359"/>
    <x v="358"/>
    <x v="352"/>
    <x v="8"/>
  </r>
  <r>
    <s v="May_2025.xlsx"/>
    <x v="23"/>
    <x v="359"/>
    <x v="354"/>
    <x v="360"/>
    <x v="360"/>
    <x v="359"/>
    <x v="353"/>
    <x v="8"/>
  </r>
  <r>
    <s v="May_2025.xlsx"/>
    <x v="24"/>
    <x v="360"/>
    <x v="355"/>
    <x v="361"/>
    <x v="361"/>
    <x v="360"/>
    <x v="354"/>
    <x v="8"/>
  </r>
  <r>
    <s v="May_2025.xlsx"/>
    <x v="25"/>
    <x v="361"/>
    <x v="356"/>
    <x v="362"/>
    <x v="362"/>
    <x v="361"/>
    <x v="355"/>
    <x v="8"/>
  </r>
  <r>
    <s v="May_2025.xlsx"/>
    <x v="26"/>
    <x v="362"/>
    <x v="357"/>
    <x v="363"/>
    <x v="363"/>
    <x v="362"/>
    <x v="356"/>
    <x v="8"/>
  </r>
  <r>
    <s v="May_2025.xlsx"/>
    <x v="27"/>
    <x v="363"/>
    <x v="358"/>
    <x v="364"/>
    <x v="364"/>
    <x v="363"/>
    <x v="357"/>
    <x v="8"/>
  </r>
  <r>
    <s v="May_2025.xlsx"/>
    <x v="28"/>
    <x v="364"/>
    <x v="359"/>
    <x v="365"/>
    <x v="365"/>
    <x v="364"/>
    <x v="358"/>
    <x v="8"/>
  </r>
  <r>
    <s v="May_2025.xlsx"/>
    <x v="29"/>
    <x v="365"/>
    <x v="360"/>
    <x v="366"/>
    <x v="366"/>
    <x v="365"/>
    <x v="359"/>
    <x v="8"/>
  </r>
  <r>
    <s v="May_2025.xlsx"/>
    <x v="30"/>
    <x v="366"/>
    <x v="361"/>
    <x v="367"/>
    <x v="367"/>
    <x v="366"/>
    <x v="360"/>
    <x v="8"/>
  </r>
  <r>
    <s v="May_2025.xlsx"/>
    <x v="31"/>
    <x v="367"/>
    <x v="362"/>
    <x v="368"/>
    <x v="368"/>
    <x v="367"/>
    <x v="361"/>
    <x v="8"/>
  </r>
  <r>
    <s v="May_2025.xlsx"/>
    <x v="32"/>
    <x v="368"/>
    <x v="363"/>
    <x v="369"/>
    <x v="369"/>
    <x v="368"/>
    <x v="362"/>
    <x v="8"/>
  </r>
  <r>
    <s v="May_2025.xlsx"/>
    <x v="33"/>
    <x v="369"/>
    <x v="364"/>
    <x v="370"/>
    <x v="370"/>
    <x v="369"/>
    <x v="363"/>
    <x v="8"/>
  </r>
  <r>
    <s v="May_2025.xlsx"/>
    <x v="34"/>
    <x v="370"/>
    <x v="365"/>
    <x v="371"/>
    <x v="371"/>
    <x v="370"/>
    <x v="364"/>
    <x v="8"/>
  </r>
  <r>
    <s v="May_2025.xlsx"/>
    <x v="35"/>
    <x v="371"/>
    <x v="366"/>
    <x v="372"/>
    <x v="372"/>
    <x v="371"/>
    <x v="365"/>
    <x v="8"/>
  </r>
  <r>
    <s v="May_2025.xlsx"/>
    <x v="36"/>
    <x v="372"/>
    <x v="367"/>
    <x v="373"/>
    <x v="373"/>
    <x v="372"/>
    <x v="366"/>
    <x v="8"/>
  </r>
  <r>
    <s v="May_2025.xlsx"/>
    <x v="37"/>
    <x v="373"/>
    <x v="368"/>
    <x v="374"/>
    <x v="374"/>
    <x v="373"/>
    <x v="367"/>
    <x v="8"/>
  </r>
  <r>
    <s v="May_2025.xlsx"/>
    <x v="38"/>
    <x v="374"/>
    <x v="369"/>
    <x v="375"/>
    <x v="375"/>
    <x v="374"/>
    <x v="368"/>
    <x v="8"/>
  </r>
  <r>
    <s v="May_2025.xlsx"/>
    <x v="39"/>
    <x v="375"/>
    <x v="370"/>
    <x v="376"/>
    <x v="376"/>
    <x v="375"/>
    <x v="369"/>
    <x v="8"/>
  </r>
  <r>
    <s v="May_2025.xlsx"/>
    <x v="40"/>
    <x v="376"/>
    <x v="371"/>
    <x v="377"/>
    <x v="377"/>
    <x v="376"/>
    <x v="370"/>
    <x v="8"/>
  </r>
  <r>
    <s v="May_2025.xlsx"/>
    <x v="41"/>
    <x v="377"/>
    <x v="372"/>
    <x v="378"/>
    <x v="378"/>
    <x v="377"/>
    <x v="371"/>
    <x v="8"/>
  </r>
  <r>
    <s v="May_2025.xlsx"/>
    <x v="42"/>
    <x v="42"/>
    <x v="42"/>
    <x v="42"/>
    <x v="42"/>
    <x v="42"/>
    <x v="42"/>
    <x v="8"/>
  </r>
  <r>
    <s v="May_2025.xlsx"/>
    <x v="42"/>
    <x v="42"/>
    <x v="42"/>
    <x v="42"/>
    <x v="42"/>
    <x v="42"/>
    <x v="42"/>
    <x v="8"/>
  </r>
  <r>
    <s v="November_2025.xlsx"/>
    <x v="0"/>
    <x v="378"/>
    <x v="373"/>
    <x v="379"/>
    <x v="379"/>
    <x v="378"/>
    <x v="372"/>
    <x v="9"/>
  </r>
  <r>
    <s v="November_2025.xlsx"/>
    <x v="1"/>
    <x v="379"/>
    <x v="374"/>
    <x v="380"/>
    <x v="380"/>
    <x v="379"/>
    <x v="373"/>
    <x v="9"/>
  </r>
  <r>
    <s v="November_2025.xlsx"/>
    <x v="2"/>
    <x v="380"/>
    <x v="375"/>
    <x v="381"/>
    <x v="381"/>
    <x v="380"/>
    <x v="374"/>
    <x v="9"/>
  </r>
  <r>
    <s v="November_2025.xlsx"/>
    <x v="3"/>
    <x v="381"/>
    <x v="376"/>
    <x v="382"/>
    <x v="382"/>
    <x v="381"/>
    <x v="375"/>
    <x v="9"/>
  </r>
  <r>
    <s v="November_2025.xlsx"/>
    <x v="4"/>
    <x v="382"/>
    <x v="377"/>
    <x v="383"/>
    <x v="383"/>
    <x v="382"/>
    <x v="376"/>
    <x v="9"/>
  </r>
  <r>
    <s v="November_2025.xlsx"/>
    <x v="5"/>
    <x v="383"/>
    <x v="378"/>
    <x v="384"/>
    <x v="384"/>
    <x v="383"/>
    <x v="377"/>
    <x v="9"/>
  </r>
  <r>
    <s v="November_2025.xlsx"/>
    <x v="6"/>
    <x v="384"/>
    <x v="379"/>
    <x v="385"/>
    <x v="385"/>
    <x v="384"/>
    <x v="378"/>
    <x v="9"/>
  </r>
  <r>
    <s v="November_2025.xlsx"/>
    <x v="7"/>
    <x v="385"/>
    <x v="380"/>
    <x v="386"/>
    <x v="386"/>
    <x v="385"/>
    <x v="379"/>
    <x v="9"/>
  </r>
  <r>
    <s v="November_2025.xlsx"/>
    <x v="8"/>
    <x v="386"/>
    <x v="381"/>
    <x v="387"/>
    <x v="387"/>
    <x v="386"/>
    <x v="380"/>
    <x v="9"/>
  </r>
  <r>
    <s v="November_2025.xlsx"/>
    <x v="9"/>
    <x v="387"/>
    <x v="382"/>
    <x v="388"/>
    <x v="388"/>
    <x v="387"/>
    <x v="381"/>
    <x v="9"/>
  </r>
  <r>
    <s v="November_2025.xlsx"/>
    <x v="10"/>
    <x v="388"/>
    <x v="383"/>
    <x v="389"/>
    <x v="389"/>
    <x v="388"/>
    <x v="382"/>
    <x v="9"/>
  </r>
  <r>
    <s v="November_2025.xlsx"/>
    <x v="11"/>
    <x v="389"/>
    <x v="384"/>
    <x v="390"/>
    <x v="390"/>
    <x v="389"/>
    <x v="383"/>
    <x v="9"/>
  </r>
  <r>
    <s v="November_2025.xlsx"/>
    <x v="12"/>
    <x v="390"/>
    <x v="385"/>
    <x v="391"/>
    <x v="391"/>
    <x v="390"/>
    <x v="384"/>
    <x v="9"/>
  </r>
  <r>
    <s v="November_2025.xlsx"/>
    <x v="13"/>
    <x v="391"/>
    <x v="386"/>
    <x v="392"/>
    <x v="392"/>
    <x v="391"/>
    <x v="385"/>
    <x v="9"/>
  </r>
  <r>
    <s v="November_2025.xlsx"/>
    <x v="14"/>
    <x v="392"/>
    <x v="387"/>
    <x v="393"/>
    <x v="393"/>
    <x v="392"/>
    <x v="386"/>
    <x v="9"/>
  </r>
  <r>
    <s v="November_2025.xlsx"/>
    <x v="15"/>
    <x v="393"/>
    <x v="388"/>
    <x v="394"/>
    <x v="394"/>
    <x v="393"/>
    <x v="387"/>
    <x v="9"/>
  </r>
  <r>
    <s v="November_2025.xlsx"/>
    <x v="16"/>
    <x v="394"/>
    <x v="389"/>
    <x v="395"/>
    <x v="395"/>
    <x v="394"/>
    <x v="388"/>
    <x v="9"/>
  </r>
  <r>
    <s v="November_2025.xlsx"/>
    <x v="17"/>
    <x v="395"/>
    <x v="390"/>
    <x v="396"/>
    <x v="396"/>
    <x v="395"/>
    <x v="389"/>
    <x v="9"/>
  </r>
  <r>
    <s v="November_2025.xlsx"/>
    <x v="18"/>
    <x v="396"/>
    <x v="391"/>
    <x v="397"/>
    <x v="397"/>
    <x v="396"/>
    <x v="390"/>
    <x v="9"/>
  </r>
  <r>
    <s v="November_2025.xlsx"/>
    <x v="19"/>
    <x v="397"/>
    <x v="392"/>
    <x v="398"/>
    <x v="398"/>
    <x v="397"/>
    <x v="391"/>
    <x v="9"/>
  </r>
  <r>
    <s v="November_2025.xlsx"/>
    <x v="20"/>
    <x v="398"/>
    <x v="393"/>
    <x v="399"/>
    <x v="399"/>
    <x v="398"/>
    <x v="392"/>
    <x v="9"/>
  </r>
  <r>
    <s v="November_2025.xlsx"/>
    <x v="21"/>
    <x v="399"/>
    <x v="394"/>
    <x v="400"/>
    <x v="400"/>
    <x v="399"/>
    <x v="393"/>
    <x v="9"/>
  </r>
  <r>
    <s v="November_2025.xlsx"/>
    <x v="22"/>
    <x v="400"/>
    <x v="395"/>
    <x v="401"/>
    <x v="401"/>
    <x v="400"/>
    <x v="394"/>
    <x v="9"/>
  </r>
  <r>
    <s v="November_2025.xlsx"/>
    <x v="23"/>
    <x v="401"/>
    <x v="107"/>
    <x v="402"/>
    <x v="402"/>
    <x v="401"/>
    <x v="395"/>
    <x v="9"/>
  </r>
  <r>
    <s v="November_2025.xlsx"/>
    <x v="24"/>
    <x v="402"/>
    <x v="396"/>
    <x v="403"/>
    <x v="403"/>
    <x v="402"/>
    <x v="396"/>
    <x v="9"/>
  </r>
  <r>
    <s v="November_2025.xlsx"/>
    <x v="25"/>
    <x v="403"/>
    <x v="397"/>
    <x v="404"/>
    <x v="404"/>
    <x v="403"/>
    <x v="397"/>
    <x v="9"/>
  </r>
  <r>
    <s v="November_2025.xlsx"/>
    <x v="26"/>
    <x v="404"/>
    <x v="398"/>
    <x v="405"/>
    <x v="405"/>
    <x v="404"/>
    <x v="398"/>
    <x v="9"/>
  </r>
  <r>
    <s v="November_2025.xlsx"/>
    <x v="27"/>
    <x v="405"/>
    <x v="399"/>
    <x v="406"/>
    <x v="406"/>
    <x v="405"/>
    <x v="399"/>
    <x v="9"/>
  </r>
  <r>
    <s v="November_2025.xlsx"/>
    <x v="28"/>
    <x v="406"/>
    <x v="400"/>
    <x v="407"/>
    <x v="407"/>
    <x v="406"/>
    <x v="400"/>
    <x v="9"/>
  </r>
  <r>
    <s v="November_2025.xlsx"/>
    <x v="29"/>
    <x v="407"/>
    <x v="401"/>
    <x v="408"/>
    <x v="408"/>
    <x v="407"/>
    <x v="401"/>
    <x v="9"/>
  </r>
  <r>
    <s v="November_2025.xlsx"/>
    <x v="30"/>
    <x v="408"/>
    <x v="402"/>
    <x v="409"/>
    <x v="409"/>
    <x v="408"/>
    <x v="402"/>
    <x v="9"/>
  </r>
  <r>
    <s v="November_2025.xlsx"/>
    <x v="31"/>
    <x v="409"/>
    <x v="403"/>
    <x v="410"/>
    <x v="410"/>
    <x v="409"/>
    <x v="403"/>
    <x v="9"/>
  </r>
  <r>
    <s v="November_2025.xlsx"/>
    <x v="32"/>
    <x v="410"/>
    <x v="404"/>
    <x v="411"/>
    <x v="411"/>
    <x v="410"/>
    <x v="404"/>
    <x v="9"/>
  </r>
  <r>
    <s v="November_2025.xlsx"/>
    <x v="33"/>
    <x v="411"/>
    <x v="405"/>
    <x v="412"/>
    <x v="412"/>
    <x v="411"/>
    <x v="405"/>
    <x v="9"/>
  </r>
  <r>
    <s v="November_2025.xlsx"/>
    <x v="34"/>
    <x v="412"/>
    <x v="406"/>
    <x v="413"/>
    <x v="413"/>
    <x v="412"/>
    <x v="406"/>
    <x v="9"/>
  </r>
  <r>
    <s v="November_2025.xlsx"/>
    <x v="35"/>
    <x v="413"/>
    <x v="407"/>
    <x v="414"/>
    <x v="414"/>
    <x v="413"/>
    <x v="407"/>
    <x v="9"/>
  </r>
  <r>
    <s v="November_2025.xlsx"/>
    <x v="36"/>
    <x v="414"/>
    <x v="408"/>
    <x v="415"/>
    <x v="415"/>
    <x v="414"/>
    <x v="408"/>
    <x v="9"/>
  </r>
  <r>
    <s v="November_2025.xlsx"/>
    <x v="37"/>
    <x v="415"/>
    <x v="409"/>
    <x v="416"/>
    <x v="416"/>
    <x v="415"/>
    <x v="409"/>
    <x v="9"/>
  </r>
  <r>
    <s v="November_2025.xlsx"/>
    <x v="38"/>
    <x v="416"/>
    <x v="410"/>
    <x v="417"/>
    <x v="417"/>
    <x v="416"/>
    <x v="410"/>
    <x v="9"/>
  </r>
  <r>
    <s v="November_2025.xlsx"/>
    <x v="39"/>
    <x v="417"/>
    <x v="411"/>
    <x v="418"/>
    <x v="418"/>
    <x v="417"/>
    <x v="411"/>
    <x v="9"/>
  </r>
  <r>
    <s v="November_2025.xlsx"/>
    <x v="40"/>
    <x v="418"/>
    <x v="412"/>
    <x v="419"/>
    <x v="419"/>
    <x v="418"/>
    <x v="412"/>
    <x v="9"/>
  </r>
  <r>
    <s v="November_2025.xlsx"/>
    <x v="41"/>
    <x v="419"/>
    <x v="413"/>
    <x v="420"/>
    <x v="420"/>
    <x v="419"/>
    <x v="413"/>
    <x v="9"/>
  </r>
  <r>
    <s v="November_2025.xlsx"/>
    <x v="42"/>
    <x v="42"/>
    <x v="42"/>
    <x v="42"/>
    <x v="42"/>
    <x v="42"/>
    <x v="42"/>
    <x v="9"/>
  </r>
  <r>
    <s v="November_2025.xlsx"/>
    <x v="42"/>
    <x v="42"/>
    <x v="42"/>
    <x v="42"/>
    <x v="42"/>
    <x v="42"/>
    <x v="42"/>
    <x v="9"/>
  </r>
  <r>
    <s v="October_2025.xlsx"/>
    <x v="0"/>
    <x v="420"/>
    <x v="414"/>
    <x v="421"/>
    <x v="421"/>
    <x v="420"/>
    <x v="414"/>
    <x v="10"/>
  </r>
  <r>
    <s v="October_2025.xlsx"/>
    <x v="1"/>
    <x v="421"/>
    <x v="415"/>
    <x v="422"/>
    <x v="422"/>
    <x v="421"/>
    <x v="415"/>
    <x v="10"/>
  </r>
  <r>
    <s v="October_2025.xlsx"/>
    <x v="2"/>
    <x v="422"/>
    <x v="416"/>
    <x v="423"/>
    <x v="423"/>
    <x v="422"/>
    <x v="416"/>
    <x v="10"/>
  </r>
  <r>
    <s v="October_2025.xlsx"/>
    <x v="3"/>
    <x v="423"/>
    <x v="417"/>
    <x v="424"/>
    <x v="424"/>
    <x v="423"/>
    <x v="417"/>
    <x v="10"/>
  </r>
  <r>
    <s v="October_2025.xlsx"/>
    <x v="4"/>
    <x v="424"/>
    <x v="418"/>
    <x v="425"/>
    <x v="425"/>
    <x v="424"/>
    <x v="418"/>
    <x v="10"/>
  </r>
  <r>
    <s v="October_2025.xlsx"/>
    <x v="5"/>
    <x v="425"/>
    <x v="419"/>
    <x v="426"/>
    <x v="426"/>
    <x v="425"/>
    <x v="419"/>
    <x v="10"/>
  </r>
  <r>
    <s v="October_2025.xlsx"/>
    <x v="6"/>
    <x v="426"/>
    <x v="420"/>
    <x v="427"/>
    <x v="427"/>
    <x v="426"/>
    <x v="420"/>
    <x v="10"/>
  </r>
  <r>
    <s v="October_2025.xlsx"/>
    <x v="7"/>
    <x v="427"/>
    <x v="421"/>
    <x v="428"/>
    <x v="428"/>
    <x v="427"/>
    <x v="421"/>
    <x v="10"/>
  </r>
  <r>
    <s v="October_2025.xlsx"/>
    <x v="8"/>
    <x v="428"/>
    <x v="422"/>
    <x v="429"/>
    <x v="429"/>
    <x v="428"/>
    <x v="422"/>
    <x v="10"/>
  </r>
  <r>
    <s v="October_2025.xlsx"/>
    <x v="9"/>
    <x v="429"/>
    <x v="423"/>
    <x v="430"/>
    <x v="430"/>
    <x v="429"/>
    <x v="423"/>
    <x v="10"/>
  </r>
  <r>
    <s v="October_2025.xlsx"/>
    <x v="10"/>
    <x v="430"/>
    <x v="424"/>
    <x v="431"/>
    <x v="431"/>
    <x v="430"/>
    <x v="424"/>
    <x v="10"/>
  </r>
  <r>
    <s v="October_2025.xlsx"/>
    <x v="11"/>
    <x v="431"/>
    <x v="425"/>
    <x v="432"/>
    <x v="432"/>
    <x v="431"/>
    <x v="425"/>
    <x v="10"/>
  </r>
  <r>
    <s v="October_2025.xlsx"/>
    <x v="12"/>
    <x v="432"/>
    <x v="426"/>
    <x v="433"/>
    <x v="433"/>
    <x v="432"/>
    <x v="426"/>
    <x v="10"/>
  </r>
  <r>
    <s v="October_2025.xlsx"/>
    <x v="13"/>
    <x v="433"/>
    <x v="427"/>
    <x v="434"/>
    <x v="434"/>
    <x v="433"/>
    <x v="427"/>
    <x v="10"/>
  </r>
  <r>
    <s v="October_2025.xlsx"/>
    <x v="14"/>
    <x v="434"/>
    <x v="428"/>
    <x v="435"/>
    <x v="435"/>
    <x v="434"/>
    <x v="428"/>
    <x v="10"/>
  </r>
  <r>
    <s v="October_2025.xlsx"/>
    <x v="15"/>
    <x v="435"/>
    <x v="429"/>
    <x v="436"/>
    <x v="436"/>
    <x v="435"/>
    <x v="429"/>
    <x v="10"/>
  </r>
  <r>
    <s v="October_2025.xlsx"/>
    <x v="16"/>
    <x v="436"/>
    <x v="430"/>
    <x v="437"/>
    <x v="437"/>
    <x v="436"/>
    <x v="430"/>
    <x v="10"/>
  </r>
  <r>
    <s v="October_2025.xlsx"/>
    <x v="17"/>
    <x v="437"/>
    <x v="431"/>
    <x v="438"/>
    <x v="438"/>
    <x v="437"/>
    <x v="431"/>
    <x v="10"/>
  </r>
  <r>
    <s v="October_2025.xlsx"/>
    <x v="18"/>
    <x v="438"/>
    <x v="432"/>
    <x v="439"/>
    <x v="439"/>
    <x v="438"/>
    <x v="432"/>
    <x v="10"/>
  </r>
  <r>
    <s v="October_2025.xlsx"/>
    <x v="19"/>
    <x v="439"/>
    <x v="433"/>
    <x v="440"/>
    <x v="440"/>
    <x v="439"/>
    <x v="433"/>
    <x v="10"/>
  </r>
  <r>
    <s v="October_2025.xlsx"/>
    <x v="20"/>
    <x v="440"/>
    <x v="434"/>
    <x v="441"/>
    <x v="441"/>
    <x v="440"/>
    <x v="434"/>
    <x v="10"/>
  </r>
  <r>
    <s v="October_2025.xlsx"/>
    <x v="21"/>
    <x v="441"/>
    <x v="435"/>
    <x v="442"/>
    <x v="442"/>
    <x v="441"/>
    <x v="435"/>
    <x v="10"/>
  </r>
  <r>
    <s v="October_2025.xlsx"/>
    <x v="22"/>
    <x v="442"/>
    <x v="436"/>
    <x v="443"/>
    <x v="443"/>
    <x v="442"/>
    <x v="436"/>
    <x v="10"/>
  </r>
  <r>
    <s v="October_2025.xlsx"/>
    <x v="23"/>
    <x v="443"/>
    <x v="437"/>
    <x v="444"/>
    <x v="444"/>
    <x v="443"/>
    <x v="437"/>
    <x v="10"/>
  </r>
  <r>
    <s v="October_2025.xlsx"/>
    <x v="24"/>
    <x v="444"/>
    <x v="438"/>
    <x v="445"/>
    <x v="445"/>
    <x v="444"/>
    <x v="438"/>
    <x v="10"/>
  </r>
  <r>
    <s v="October_2025.xlsx"/>
    <x v="25"/>
    <x v="445"/>
    <x v="439"/>
    <x v="446"/>
    <x v="446"/>
    <x v="445"/>
    <x v="439"/>
    <x v="10"/>
  </r>
  <r>
    <s v="October_2025.xlsx"/>
    <x v="26"/>
    <x v="446"/>
    <x v="440"/>
    <x v="447"/>
    <x v="447"/>
    <x v="446"/>
    <x v="440"/>
    <x v="10"/>
  </r>
  <r>
    <s v="October_2025.xlsx"/>
    <x v="27"/>
    <x v="447"/>
    <x v="441"/>
    <x v="448"/>
    <x v="448"/>
    <x v="447"/>
    <x v="441"/>
    <x v="10"/>
  </r>
  <r>
    <s v="October_2025.xlsx"/>
    <x v="28"/>
    <x v="448"/>
    <x v="442"/>
    <x v="449"/>
    <x v="449"/>
    <x v="448"/>
    <x v="442"/>
    <x v="10"/>
  </r>
  <r>
    <s v="October_2025.xlsx"/>
    <x v="29"/>
    <x v="449"/>
    <x v="443"/>
    <x v="450"/>
    <x v="450"/>
    <x v="449"/>
    <x v="443"/>
    <x v="10"/>
  </r>
  <r>
    <s v="October_2025.xlsx"/>
    <x v="30"/>
    <x v="450"/>
    <x v="444"/>
    <x v="451"/>
    <x v="451"/>
    <x v="450"/>
    <x v="444"/>
    <x v="10"/>
  </r>
  <r>
    <s v="October_2025.xlsx"/>
    <x v="31"/>
    <x v="451"/>
    <x v="445"/>
    <x v="452"/>
    <x v="452"/>
    <x v="451"/>
    <x v="445"/>
    <x v="10"/>
  </r>
  <r>
    <s v="October_2025.xlsx"/>
    <x v="32"/>
    <x v="452"/>
    <x v="446"/>
    <x v="453"/>
    <x v="453"/>
    <x v="452"/>
    <x v="446"/>
    <x v="10"/>
  </r>
  <r>
    <s v="October_2025.xlsx"/>
    <x v="33"/>
    <x v="453"/>
    <x v="447"/>
    <x v="454"/>
    <x v="454"/>
    <x v="453"/>
    <x v="447"/>
    <x v="10"/>
  </r>
  <r>
    <s v="October_2025.xlsx"/>
    <x v="34"/>
    <x v="454"/>
    <x v="448"/>
    <x v="455"/>
    <x v="455"/>
    <x v="454"/>
    <x v="448"/>
    <x v="10"/>
  </r>
  <r>
    <s v="October_2025.xlsx"/>
    <x v="35"/>
    <x v="455"/>
    <x v="449"/>
    <x v="456"/>
    <x v="456"/>
    <x v="455"/>
    <x v="449"/>
    <x v="10"/>
  </r>
  <r>
    <s v="October_2025.xlsx"/>
    <x v="36"/>
    <x v="456"/>
    <x v="450"/>
    <x v="457"/>
    <x v="457"/>
    <x v="456"/>
    <x v="450"/>
    <x v="10"/>
  </r>
  <r>
    <s v="October_2025.xlsx"/>
    <x v="37"/>
    <x v="457"/>
    <x v="451"/>
    <x v="458"/>
    <x v="458"/>
    <x v="457"/>
    <x v="451"/>
    <x v="10"/>
  </r>
  <r>
    <s v="October_2025.xlsx"/>
    <x v="38"/>
    <x v="458"/>
    <x v="452"/>
    <x v="459"/>
    <x v="459"/>
    <x v="458"/>
    <x v="452"/>
    <x v="10"/>
  </r>
  <r>
    <s v="October_2025.xlsx"/>
    <x v="39"/>
    <x v="459"/>
    <x v="453"/>
    <x v="460"/>
    <x v="460"/>
    <x v="459"/>
    <x v="453"/>
    <x v="10"/>
  </r>
  <r>
    <s v="October_2025.xlsx"/>
    <x v="40"/>
    <x v="460"/>
    <x v="454"/>
    <x v="461"/>
    <x v="461"/>
    <x v="460"/>
    <x v="454"/>
    <x v="10"/>
  </r>
  <r>
    <s v="October_2025.xlsx"/>
    <x v="41"/>
    <x v="461"/>
    <x v="455"/>
    <x v="462"/>
    <x v="462"/>
    <x v="461"/>
    <x v="455"/>
    <x v="10"/>
  </r>
  <r>
    <s v="October_2025.xlsx"/>
    <x v="42"/>
    <x v="42"/>
    <x v="42"/>
    <x v="42"/>
    <x v="42"/>
    <x v="42"/>
    <x v="42"/>
    <x v="10"/>
  </r>
  <r>
    <s v="October_2025.xlsx"/>
    <x v="42"/>
    <x v="42"/>
    <x v="42"/>
    <x v="42"/>
    <x v="42"/>
    <x v="42"/>
    <x v="42"/>
    <x v="10"/>
  </r>
  <r>
    <s v="September_2025.xlsx"/>
    <x v="0"/>
    <x v="462"/>
    <x v="456"/>
    <x v="463"/>
    <x v="463"/>
    <x v="462"/>
    <x v="456"/>
    <x v="11"/>
  </r>
  <r>
    <s v="September_2025.xlsx"/>
    <x v="1"/>
    <x v="463"/>
    <x v="457"/>
    <x v="464"/>
    <x v="464"/>
    <x v="463"/>
    <x v="457"/>
    <x v="11"/>
  </r>
  <r>
    <s v="September_2025.xlsx"/>
    <x v="2"/>
    <x v="464"/>
    <x v="458"/>
    <x v="465"/>
    <x v="465"/>
    <x v="464"/>
    <x v="458"/>
    <x v="11"/>
  </r>
  <r>
    <s v="September_2025.xlsx"/>
    <x v="3"/>
    <x v="465"/>
    <x v="459"/>
    <x v="466"/>
    <x v="466"/>
    <x v="465"/>
    <x v="459"/>
    <x v="11"/>
  </r>
  <r>
    <s v="September_2025.xlsx"/>
    <x v="4"/>
    <x v="466"/>
    <x v="460"/>
    <x v="467"/>
    <x v="467"/>
    <x v="466"/>
    <x v="460"/>
    <x v="11"/>
  </r>
  <r>
    <s v="September_2025.xlsx"/>
    <x v="5"/>
    <x v="467"/>
    <x v="48"/>
    <x v="468"/>
    <x v="468"/>
    <x v="467"/>
    <x v="461"/>
    <x v="11"/>
  </r>
  <r>
    <s v="September_2025.xlsx"/>
    <x v="6"/>
    <x v="468"/>
    <x v="461"/>
    <x v="469"/>
    <x v="469"/>
    <x v="468"/>
    <x v="462"/>
    <x v="11"/>
  </r>
  <r>
    <s v="September_2025.xlsx"/>
    <x v="7"/>
    <x v="469"/>
    <x v="462"/>
    <x v="470"/>
    <x v="470"/>
    <x v="469"/>
    <x v="463"/>
    <x v="11"/>
  </r>
  <r>
    <s v="September_2025.xlsx"/>
    <x v="8"/>
    <x v="470"/>
    <x v="463"/>
    <x v="471"/>
    <x v="471"/>
    <x v="470"/>
    <x v="464"/>
    <x v="11"/>
  </r>
  <r>
    <s v="September_2025.xlsx"/>
    <x v="9"/>
    <x v="471"/>
    <x v="464"/>
    <x v="472"/>
    <x v="472"/>
    <x v="471"/>
    <x v="465"/>
    <x v="11"/>
  </r>
  <r>
    <s v="September_2025.xlsx"/>
    <x v="10"/>
    <x v="472"/>
    <x v="10"/>
    <x v="473"/>
    <x v="473"/>
    <x v="472"/>
    <x v="466"/>
    <x v="11"/>
  </r>
  <r>
    <s v="September_2025.xlsx"/>
    <x v="11"/>
    <x v="473"/>
    <x v="465"/>
    <x v="474"/>
    <x v="474"/>
    <x v="473"/>
    <x v="467"/>
    <x v="11"/>
  </r>
  <r>
    <s v="September_2025.xlsx"/>
    <x v="12"/>
    <x v="474"/>
    <x v="466"/>
    <x v="475"/>
    <x v="475"/>
    <x v="474"/>
    <x v="468"/>
    <x v="11"/>
  </r>
  <r>
    <s v="September_2025.xlsx"/>
    <x v="13"/>
    <x v="475"/>
    <x v="467"/>
    <x v="476"/>
    <x v="476"/>
    <x v="475"/>
    <x v="469"/>
    <x v="11"/>
  </r>
  <r>
    <s v="September_2025.xlsx"/>
    <x v="14"/>
    <x v="476"/>
    <x v="468"/>
    <x v="477"/>
    <x v="477"/>
    <x v="476"/>
    <x v="470"/>
    <x v="11"/>
  </r>
  <r>
    <s v="September_2025.xlsx"/>
    <x v="15"/>
    <x v="477"/>
    <x v="469"/>
    <x v="478"/>
    <x v="478"/>
    <x v="477"/>
    <x v="471"/>
    <x v="11"/>
  </r>
  <r>
    <s v="September_2025.xlsx"/>
    <x v="16"/>
    <x v="478"/>
    <x v="470"/>
    <x v="479"/>
    <x v="479"/>
    <x v="478"/>
    <x v="472"/>
    <x v="11"/>
  </r>
  <r>
    <s v="September_2025.xlsx"/>
    <x v="17"/>
    <x v="479"/>
    <x v="471"/>
    <x v="480"/>
    <x v="480"/>
    <x v="479"/>
    <x v="473"/>
    <x v="11"/>
  </r>
  <r>
    <s v="September_2025.xlsx"/>
    <x v="18"/>
    <x v="480"/>
    <x v="472"/>
    <x v="481"/>
    <x v="481"/>
    <x v="480"/>
    <x v="474"/>
    <x v="11"/>
  </r>
  <r>
    <s v="September_2025.xlsx"/>
    <x v="19"/>
    <x v="481"/>
    <x v="473"/>
    <x v="482"/>
    <x v="482"/>
    <x v="481"/>
    <x v="475"/>
    <x v="11"/>
  </r>
  <r>
    <s v="September_2025.xlsx"/>
    <x v="20"/>
    <x v="482"/>
    <x v="474"/>
    <x v="483"/>
    <x v="483"/>
    <x v="482"/>
    <x v="476"/>
    <x v="11"/>
  </r>
  <r>
    <s v="September_2025.xlsx"/>
    <x v="21"/>
    <x v="483"/>
    <x v="475"/>
    <x v="484"/>
    <x v="484"/>
    <x v="483"/>
    <x v="477"/>
    <x v="11"/>
  </r>
  <r>
    <s v="September_2025.xlsx"/>
    <x v="22"/>
    <x v="484"/>
    <x v="476"/>
    <x v="485"/>
    <x v="485"/>
    <x v="484"/>
    <x v="478"/>
    <x v="11"/>
  </r>
  <r>
    <s v="September_2025.xlsx"/>
    <x v="23"/>
    <x v="485"/>
    <x v="477"/>
    <x v="486"/>
    <x v="486"/>
    <x v="485"/>
    <x v="479"/>
    <x v="11"/>
  </r>
  <r>
    <s v="September_2025.xlsx"/>
    <x v="24"/>
    <x v="486"/>
    <x v="478"/>
    <x v="487"/>
    <x v="487"/>
    <x v="486"/>
    <x v="480"/>
    <x v="11"/>
  </r>
  <r>
    <s v="September_2025.xlsx"/>
    <x v="25"/>
    <x v="487"/>
    <x v="479"/>
    <x v="488"/>
    <x v="488"/>
    <x v="487"/>
    <x v="481"/>
    <x v="11"/>
  </r>
  <r>
    <s v="September_2025.xlsx"/>
    <x v="26"/>
    <x v="488"/>
    <x v="480"/>
    <x v="489"/>
    <x v="489"/>
    <x v="488"/>
    <x v="482"/>
    <x v="11"/>
  </r>
  <r>
    <s v="September_2025.xlsx"/>
    <x v="27"/>
    <x v="489"/>
    <x v="481"/>
    <x v="490"/>
    <x v="490"/>
    <x v="489"/>
    <x v="483"/>
    <x v="11"/>
  </r>
  <r>
    <s v="September_2025.xlsx"/>
    <x v="28"/>
    <x v="490"/>
    <x v="482"/>
    <x v="491"/>
    <x v="491"/>
    <x v="490"/>
    <x v="484"/>
    <x v="11"/>
  </r>
  <r>
    <s v="September_2025.xlsx"/>
    <x v="29"/>
    <x v="491"/>
    <x v="483"/>
    <x v="492"/>
    <x v="492"/>
    <x v="491"/>
    <x v="485"/>
    <x v="11"/>
  </r>
  <r>
    <s v="September_2025.xlsx"/>
    <x v="30"/>
    <x v="492"/>
    <x v="484"/>
    <x v="493"/>
    <x v="493"/>
    <x v="492"/>
    <x v="486"/>
    <x v="11"/>
  </r>
  <r>
    <s v="September_2025.xlsx"/>
    <x v="31"/>
    <x v="493"/>
    <x v="485"/>
    <x v="494"/>
    <x v="494"/>
    <x v="493"/>
    <x v="487"/>
    <x v="11"/>
  </r>
  <r>
    <s v="September_2025.xlsx"/>
    <x v="32"/>
    <x v="494"/>
    <x v="486"/>
    <x v="495"/>
    <x v="495"/>
    <x v="494"/>
    <x v="488"/>
    <x v="11"/>
  </r>
  <r>
    <s v="September_2025.xlsx"/>
    <x v="33"/>
    <x v="495"/>
    <x v="487"/>
    <x v="496"/>
    <x v="496"/>
    <x v="495"/>
    <x v="489"/>
    <x v="11"/>
  </r>
  <r>
    <s v="September_2025.xlsx"/>
    <x v="34"/>
    <x v="496"/>
    <x v="488"/>
    <x v="497"/>
    <x v="497"/>
    <x v="496"/>
    <x v="490"/>
    <x v="11"/>
  </r>
  <r>
    <s v="September_2025.xlsx"/>
    <x v="35"/>
    <x v="497"/>
    <x v="489"/>
    <x v="498"/>
    <x v="498"/>
    <x v="497"/>
    <x v="491"/>
    <x v="11"/>
  </r>
  <r>
    <s v="September_2025.xlsx"/>
    <x v="36"/>
    <x v="498"/>
    <x v="490"/>
    <x v="499"/>
    <x v="499"/>
    <x v="498"/>
    <x v="492"/>
    <x v="11"/>
  </r>
  <r>
    <s v="September_2025.xlsx"/>
    <x v="37"/>
    <x v="499"/>
    <x v="491"/>
    <x v="500"/>
    <x v="500"/>
    <x v="499"/>
    <x v="493"/>
    <x v="11"/>
  </r>
  <r>
    <s v="September_2025.xlsx"/>
    <x v="38"/>
    <x v="500"/>
    <x v="492"/>
    <x v="501"/>
    <x v="501"/>
    <x v="500"/>
    <x v="494"/>
    <x v="11"/>
  </r>
  <r>
    <s v="September_2025.xlsx"/>
    <x v="39"/>
    <x v="501"/>
    <x v="493"/>
    <x v="502"/>
    <x v="502"/>
    <x v="501"/>
    <x v="495"/>
    <x v="11"/>
  </r>
  <r>
    <s v="September_2025.xlsx"/>
    <x v="40"/>
    <x v="502"/>
    <x v="494"/>
    <x v="503"/>
    <x v="503"/>
    <x v="502"/>
    <x v="496"/>
    <x v="11"/>
  </r>
  <r>
    <s v="September_2025.xlsx"/>
    <x v="41"/>
    <x v="503"/>
    <x v="495"/>
    <x v="504"/>
    <x v="504"/>
    <x v="503"/>
    <x v="497"/>
    <x v="11"/>
  </r>
  <r>
    <s v="September_2025.xlsx"/>
    <x v="42"/>
    <x v="42"/>
    <x v="42"/>
    <x v="42"/>
    <x v="42"/>
    <x v="42"/>
    <x v="42"/>
    <x v="11"/>
  </r>
  <r>
    <s v="September_2025.xlsx"/>
    <x v="42"/>
    <x v="42"/>
    <x v="42"/>
    <x v="42"/>
    <x v="42"/>
    <x v="42"/>
    <x v="4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11F573-5659-4245-B9E2-E9434604F2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48" firstHeaderRow="1" firstDataRow="2" firstDataCol="1"/>
  <pivotFields count="9">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505">
        <item x="169"/>
        <item x="85"/>
        <item x="378"/>
        <item x="127"/>
        <item x="420"/>
        <item x="295"/>
        <item x="0"/>
        <item x="462"/>
        <item x="336"/>
        <item x="253"/>
        <item x="43"/>
        <item x="211"/>
        <item x="392"/>
        <item x="434"/>
        <item x="476"/>
        <item x="410"/>
        <item x="99"/>
        <item x="452"/>
        <item x="117"/>
        <item x="494"/>
        <item x="401"/>
        <item x="108"/>
        <item x="443"/>
        <item x="57"/>
        <item x="159"/>
        <item x="75"/>
        <item x="201"/>
        <item x="485"/>
        <item x="393"/>
        <item x="162"/>
        <item x="66"/>
        <item x="435"/>
        <item x="477"/>
        <item x="204"/>
        <item x="58"/>
        <item x="100"/>
        <item x="32"/>
        <item x="329"/>
        <item x="326"/>
        <item x="35"/>
        <item x="285"/>
        <item x="368"/>
        <item x="243"/>
        <item x="288"/>
        <item x="371"/>
        <item x="246"/>
        <item x="78"/>
        <item x="497"/>
        <item x="455"/>
        <item x="413"/>
        <item x="120"/>
        <item x="109"/>
        <item x="203"/>
        <item x="161"/>
        <item x="206"/>
        <item x="122"/>
        <item x="150"/>
        <item x="402"/>
        <item x="192"/>
        <item x="415"/>
        <item x="457"/>
        <item x="444"/>
        <item x="328"/>
        <item x="34"/>
        <item x="499"/>
        <item x="80"/>
        <item x="287"/>
        <item x="370"/>
        <item x="245"/>
        <item x="164"/>
        <item x="77"/>
        <item x="496"/>
        <item x="454"/>
        <item x="412"/>
        <item x="119"/>
        <item x="23"/>
        <item x="276"/>
        <item x="234"/>
        <item x="359"/>
        <item x="486"/>
        <item x="67"/>
        <item x="317"/>
        <item x="331"/>
        <item x="37"/>
        <item x="290"/>
        <item x="248"/>
        <item x="373"/>
        <item x="87"/>
        <item x="88"/>
        <item x="193"/>
        <item x="183"/>
        <item x="151"/>
        <item x="141"/>
        <item x="184"/>
        <item x="24"/>
        <item x="142"/>
        <item x="360"/>
        <item x="277"/>
        <item x="235"/>
        <item x="318"/>
        <item x="225"/>
        <item x="267"/>
        <item x="440"/>
        <item x="482"/>
        <item x="14"/>
        <item x="308"/>
        <item x="63"/>
        <item x="350"/>
        <item x="15"/>
        <item x="309"/>
        <item x="351"/>
        <item x="268"/>
        <item x="226"/>
        <item x="381"/>
        <item x="176"/>
        <item x="175"/>
        <item x="380"/>
        <item x="398"/>
        <item x="423"/>
        <item x="133"/>
        <item x="134"/>
        <item x="465"/>
        <item x="302"/>
        <item x="7"/>
        <item x="46"/>
        <item x="343"/>
        <item x="260"/>
        <item x="218"/>
        <item x="50"/>
        <item x="469"/>
        <item x="427"/>
        <item x="385"/>
        <item x="422"/>
        <item x="91"/>
        <item x="464"/>
        <item x="105"/>
        <item x="461"/>
        <item x="301"/>
        <item x="147"/>
        <item x="6"/>
        <item x="92"/>
        <item x="342"/>
        <item x="45"/>
        <item x="259"/>
        <item x="503"/>
        <item x="419"/>
        <item x="217"/>
        <item x="49"/>
        <item x="468"/>
        <item x="426"/>
        <item x="384"/>
        <item x="174"/>
        <item x="208"/>
        <item x="84"/>
        <item x="132"/>
        <item x="189"/>
        <item x="90"/>
        <item x="5"/>
        <item x="300"/>
        <item x="341"/>
        <item x="258"/>
        <item x="216"/>
        <item x="48"/>
        <item x="467"/>
        <item x="425"/>
        <item x="383"/>
        <item x="126"/>
        <item x="166"/>
        <item x="314"/>
        <item x="333"/>
        <item x="20"/>
        <item x="273"/>
        <item x="210"/>
        <item x="231"/>
        <item x="356"/>
        <item x="459"/>
        <item x="417"/>
        <item x="39"/>
        <item x="124"/>
        <item x="292"/>
        <item x="250"/>
        <item x="82"/>
        <item x="375"/>
        <item x="501"/>
        <item x="168"/>
        <item x="195"/>
        <item x="335"/>
        <item x="41"/>
        <item x="113"/>
        <item x="406"/>
        <item x="448"/>
        <item x="490"/>
        <item x="71"/>
        <item x="3"/>
        <item x="339"/>
        <item x="194"/>
        <item x="214"/>
        <item x="256"/>
        <item x="153"/>
        <item x="130"/>
        <item x="197"/>
        <item x="294"/>
        <item x="155"/>
        <item x="252"/>
        <item x="377"/>
        <item x="199"/>
        <item x="364"/>
        <item x="281"/>
        <item x="28"/>
        <item x="239"/>
        <item x="157"/>
        <item x="152"/>
        <item x="172"/>
        <item x="320"/>
        <item x="26"/>
        <item x="324"/>
        <item x="30"/>
        <item x="298"/>
        <item x="366"/>
        <item x="283"/>
        <item x="362"/>
        <item x="399"/>
        <item x="241"/>
        <item x="279"/>
        <item x="73"/>
        <item x="237"/>
        <item x="492"/>
        <item x="115"/>
        <item x="69"/>
        <item x="441"/>
        <item x="450"/>
        <item x="488"/>
        <item x="408"/>
        <item x="319"/>
        <item x="446"/>
        <item x="404"/>
        <item x="322"/>
        <item x="106"/>
        <item x="146"/>
        <item x="483"/>
        <item x="111"/>
        <item x="196"/>
        <item x="64"/>
        <item x="188"/>
        <item x="313"/>
        <item x="25"/>
        <item x="361"/>
        <item x="278"/>
        <item x="236"/>
        <item x="68"/>
        <item x="487"/>
        <item x="19"/>
        <item x="445"/>
        <item x="403"/>
        <item x="355"/>
        <item x="272"/>
        <item x="397"/>
        <item x="439"/>
        <item x="104"/>
        <item x="154"/>
        <item x="230"/>
        <item x="62"/>
        <item x="481"/>
        <item x="110"/>
        <item x="321"/>
        <item x="27"/>
        <item x="363"/>
        <item x="280"/>
        <item x="238"/>
        <item x="70"/>
        <item x="489"/>
        <item x="447"/>
        <item x="405"/>
        <item x="112"/>
        <item x="407"/>
        <item x="114"/>
        <item x="449"/>
        <item x="491"/>
        <item x="198"/>
        <item x="72"/>
        <item x="171"/>
        <item x="255"/>
        <item x="213"/>
        <item x="187"/>
        <item x="2"/>
        <item x="338"/>
        <item x="156"/>
        <item x="29"/>
        <item x="365"/>
        <item x="129"/>
        <item x="145"/>
        <item x="282"/>
        <item x="240"/>
        <item x="207"/>
        <item x="323"/>
        <item x="21"/>
        <item x="357"/>
        <item x="274"/>
        <item x="232"/>
        <item x="165"/>
        <item x="312"/>
        <item x="18"/>
        <item x="297"/>
        <item x="354"/>
        <item x="271"/>
        <item x="229"/>
        <item x="61"/>
        <item x="480"/>
        <item x="438"/>
        <item x="396"/>
        <item x="190"/>
        <item x="103"/>
        <item x="148"/>
        <item x="332"/>
        <item x="38"/>
        <item x="123"/>
        <item x="374"/>
        <item x="291"/>
        <item x="249"/>
        <item x="81"/>
        <item x="500"/>
        <item x="458"/>
        <item x="416"/>
        <item x="315"/>
        <item x="209"/>
        <item x="178"/>
        <item x="167"/>
        <item x="136"/>
        <item x="334"/>
        <item x="40"/>
        <item x="304"/>
        <item x="9"/>
        <item x="125"/>
        <item x="376"/>
        <item x="293"/>
        <item x="251"/>
        <item x="83"/>
        <item x="502"/>
        <item x="460"/>
        <item x="418"/>
        <item x="185"/>
        <item x="345"/>
        <item x="262"/>
        <item x="220"/>
        <item x="52"/>
        <item x="471"/>
        <item x="429"/>
        <item x="387"/>
        <item x="143"/>
        <item x="94"/>
        <item x="138"/>
        <item x="310"/>
        <item x="16"/>
        <item x="180"/>
        <item x="305"/>
        <item x="11"/>
        <item x="347"/>
        <item x="264"/>
        <item x="222"/>
        <item x="54"/>
        <item x="473"/>
        <item x="431"/>
        <item x="389"/>
        <item x="144"/>
        <item x="96"/>
        <item x="186"/>
        <item x="394"/>
        <item x="436"/>
        <item x="170"/>
        <item x="101"/>
        <item x="478"/>
        <item x="59"/>
        <item x="269"/>
        <item x="227"/>
        <item x="352"/>
        <item x="128"/>
        <item x="200"/>
        <item x="102"/>
        <item x="311"/>
        <item x="158"/>
        <item x="17"/>
        <item x="353"/>
        <item x="270"/>
        <item x="228"/>
        <item x="131"/>
        <item x="60"/>
        <item x="479"/>
        <item x="437"/>
        <item x="395"/>
        <item x="173"/>
        <item x="86"/>
        <item x="296"/>
        <item x="1"/>
        <item x="379"/>
        <item x="421"/>
        <item x="337"/>
        <item x="202"/>
        <item x="254"/>
        <item x="463"/>
        <item x="44"/>
        <item x="212"/>
        <item x="160"/>
        <item x="137"/>
        <item x="179"/>
        <item x="10"/>
        <item x="325"/>
        <item x="31"/>
        <item x="367"/>
        <item x="177"/>
        <item x="284"/>
        <item x="242"/>
        <item x="74"/>
        <item x="493"/>
        <item x="95"/>
        <item x="346"/>
        <item x="451"/>
        <item x="263"/>
        <item x="409"/>
        <item x="221"/>
        <item x="53"/>
        <item x="116"/>
        <item x="472"/>
        <item x="299"/>
        <item x="4"/>
        <item x="430"/>
        <item x="388"/>
        <item x="340"/>
        <item x="89"/>
        <item x="257"/>
        <item x="215"/>
        <item x="47"/>
        <item x="466"/>
        <item x="424"/>
        <item x="382"/>
        <item x="135"/>
        <item x="327"/>
        <item x="33"/>
        <item x="369"/>
        <item x="286"/>
        <item x="244"/>
        <item x="76"/>
        <item x="495"/>
        <item x="453"/>
        <item x="411"/>
        <item x="163"/>
        <item x="118"/>
        <item x="205"/>
        <item x="93"/>
        <item x="303"/>
        <item x="8"/>
        <item x="344"/>
        <item x="261"/>
        <item x="219"/>
        <item x="51"/>
        <item x="470"/>
        <item x="428"/>
        <item x="386"/>
        <item x="181"/>
        <item x="330"/>
        <item x="36"/>
        <item x="372"/>
        <item x="289"/>
        <item x="247"/>
        <item x="79"/>
        <item x="498"/>
        <item x="456"/>
        <item x="414"/>
        <item x="121"/>
        <item x="139"/>
        <item x="306"/>
        <item x="140"/>
        <item x="12"/>
        <item x="191"/>
        <item x="149"/>
        <item x="182"/>
        <item x="22"/>
        <item x="358"/>
        <item x="275"/>
        <item x="400"/>
        <item x="233"/>
        <item x="442"/>
        <item x="107"/>
        <item x="65"/>
        <item x="484"/>
        <item x="307"/>
        <item x="13"/>
        <item x="316"/>
        <item x="349"/>
        <item x="266"/>
        <item x="224"/>
        <item x="56"/>
        <item x="475"/>
        <item x="433"/>
        <item x="391"/>
        <item x="348"/>
        <item x="98"/>
        <item x="265"/>
        <item x="223"/>
        <item x="55"/>
        <item x="97"/>
        <item x="474"/>
        <item x="432"/>
        <item x="390"/>
        <item x="42"/>
        <item t="default"/>
      </items>
    </pivotField>
    <pivotField showAll="0">
      <items count="497">
        <item x="168"/>
        <item x="456"/>
        <item x="126"/>
        <item x="43"/>
        <item x="84"/>
        <item x="0"/>
        <item x="373"/>
        <item x="291"/>
        <item x="333"/>
        <item x="251"/>
        <item x="414"/>
        <item x="210"/>
        <item x="107"/>
        <item x="477"/>
        <item x="486"/>
        <item x="116"/>
        <item x="65"/>
        <item x="468"/>
        <item x="74"/>
        <item x="446"/>
        <item x="98"/>
        <item x="387"/>
        <item x="428"/>
        <item x="99"/>
        <item x="404"/>
        <item x="192"/>
        <item x="150"/>
        <item x="87"/>
        <item x="205"/>
        <item x="315"/>
        <item x="388"/>
        <item x="163"/>
        <item x="469"/>
        <item x="158"/>
        <item x="86"/>
        <item x="437"/>
        <item x="200"/>
        <item x="328"/>
        <item x="429"/>
        <item x="56"/>
        <item x="489"/>
        <item x="161"/>
        <item x="241"/>
        <item x="323"/>
        <item x="203"/>
        <item x="376"/>
        <item x="326"/>
        <item x="77"/>
        <item x="32"/>
        <item x="281"/>
        <item x="76"/>
        <item x="57"/>
        <item x="488"/>
        <item x="284"/>
        <item x="160"/>
        <item x="244"/>
        <item x="365"/>
        <item x="363"/>
        <item x="243"/>
        <item x="283"/>
        <item x="202"/>
        <item x="35"/>
        <item x="366"/>
        <item x="121"/>
        <item x="375"/>
        <item x="149"/>
        <item x="34"/>
        <item x="325"/>
        <item x="491"/>
        <item x="119"/>
        <item x="191"/>
        <item x="478"/>
        <item x="232"/>
        <item x="449"/>
        <item x="79"/>
        <item x="451"/>
        <item x="118"/>
        <item x="409"/>
        <item x="24"/>
        <item x="354"/>
        <item x="272"/>
        <item x="448"/>
        <item x="246"/>
        <item x="66"/>
        <item x="406"/>
        <item x="108"/>
        <item x="23"/>
        <item x="407"/>
        <item x="434"/>
        <item x="314"/>
        <item x="286"/>
        <item x="174"/>
        <item x="37"/>
        <item x="132"/>
        <item x="223"/>
        <item x="474"/>
        <item x="188"/>
        <item x="146"/>
        <item x="62"/>
        <item x="6"/>
        <item x="368"/>
        <item x="355"/>
        <item x="311"/>
        <item x="297"/>
        <item x="224"/>
        <item x="339"/>
        <item x="257"/>
        <item x="461"/>
        <item x="140"/>
        <item x="49"/>
        <item x="216"/>
        <item x="263"/>
        <item x="182"/>
        <item x="233"/>
        <item x="14"/>
        <item x="273"/>
        <item x="417"/>
        <item x="346"/>
        <item x="305"/>
        <item x="380"/>
        <item x="91"/>
        <item x="379"/>
        <item x="459"/>
        <item x="338"/>
        <item x="340"/>
        <item x="48"/>
        <item x="256"/>
        <item x="420"/>
        <item x="215"/>
        <item x="141"/>
        <item x="173"/>
        <item x="264"/>
        <item x="396"/>
        <item x="217"/>
        <item x="89"/>
        <item x="438"/>
        <item x="90"/>
        <item x="419"/>
        <item x="378"/>
        <item x="462"/>
        <item x="183"/>
        <item x="258"/>
        <item x="394"/>
        <item x="50"/>
        <item x="20"/>
        <item x="393"/>
        <item x="421"/>
        <item x="306"/>
        <item x="131"/>
        <item x="15"/>
        <item x="416"/>
        <item x="46"/>
        <item x="7"/>
        <item x="296"/>
        <item x="81"/>
        <item x="493"/>
        <item x="5"/>
        <item x="400"/>
        <item x="175"/>
        <item x="104"/>
        <item x="165"/>
        <item x="189"/>
        <item x="105"/>
        <item x="112"/>
        <item x="123"/>
        <item x="147"/>
        <item x="347"/>
        <item x="207"/>
        <item x="133"/>
        <item x="475"/>
        <item x="63"/>
        <item x="248"/>
        <item x="298"/>
        <item x="458"/>
        <item x="209"/>
        <item x="288"/>
        <item x="330"/>
        <item x="312"/>
        <item x="435"/>
        <item x="45"/>
        <item x="370"/>
        <item x="167"/>
        <item x="332"/>
        <item x="194"/>
        <item x="442"/>
        <item x="152"/>
        <item x="39"/>
        <item x="317"/>
        <item x="357"/>
        <item x="413"/>
        <item x="453"/>
        <item x="21"/>
        <item x="495"/>
        <item x="235"/>
        <item x="482"/>
        <item x="26"/>
        <item x="275"/>
        <item x="83"/>
        <item x="110"/>
        <item x="70"/>
        <item x="193"/>
        <item x="353"/>
        <item x="237"/>
        <item x="411"/>
        <item x="455"/>
        <item x="398"/>
        <item x="480"/>
        <item x="230"/>
        <item x="359"/>
        <item x="111"/>
        <item x="229"/>
        <item x="399"/>
        <item x="68"/>
        <item x="196"/>
        <item x="277"/>
        <item x="481"/>
        <item x="28"/>
        <item x="125"/>
        <item x="269"/>
        <item x="270"/>
        <item x="352"/>
        <item x="401"/>
        <item x="69"/>
        <item x="171"/>
        <item x="129"/>
        <item x="213"/>
        <item x="113"/>
        <item x="440"/>
        <item x="154"/>
        <item x="3"/>
        <item x="151"/>
        <item x="27"/>
        <item x="254"/>
        <item x="443"/>
        <item x="153"/>
        <item x="198"/>
        <item x="441"/>
        <item x="195"/>
        <item x="156"/>
        <item x="212"/>
        <item x="316"/>
        <item x="319"/>
        <item x="145"/>
        <item x="336"/>
        <item x="321"/>
        <item x="187"/>
        <item x="483"/>
        <item x="25"/>
        <item x="253"/>
        <item x="294"/>
        <item x="318"/>
        <item x="356"/>
        <item x="310"/>
        <item x="71"/>
        <item x="41"/>
        <item x="19"/>
        <item x="274"/>
        <item x="197"/>
        <item x="351"/>
        <item x="372"/>
        <item x="234"/>
        <item x="29"/>
        <item x="155"/>
        <item x="109"/>
        <item x="228"/>
        <item x="268"/>
        <item x="320"/>
        <item x="239"/>
        <item x="219"/>
        <item x="67"/>
        <item x="279"/>
        <item x="361"/>
        <item x="342"/>
        <item x="30"/>
        <item x="72"/>
        <item x="360"/>
        <item x="276"/>
        <item x="335"/>
        <item x="170"/>
        <item x="250"/>
        <item x="236"/>
        <item x="358"/>
        <item x="128"/>
        <item x="2"/>
        <item x="484"/>
        <item x="397"/>
        <item x="114"/>
        <item x="290"/>
        <item x="444"/>
        <item x="402"/>
        <item x="479"/>
        <item x="238"/>
        <item x="278"/>
        <item x="473"/>
        <item x="61"/>
        <item x="439"/>
        <item x="206"/>
        <item x="464"/>
        <item x="52"/>
        <item x="186"/>
        <item x="382"/>
        <item x="492"/>
        <item x="293"/>
        <item x="177"/>
        <item x="80"/>
        <item x="423"/>
        <item x="164"/>
        <item x="135"/>
        <item x="103"/>
        <item x="452"/>
        <item x="433"/>
        <item x="300"/>
        <item x="9"/>
        <item x="144"/>
        <item x="60"/>
        <item x="392"/>
        <item x="102"/>
        <item x="369"/>
        <item x="329"/>
        <item x="350"/>
        <item x="410"/>
        <item x="472"/>
        <item x="38"/>
        <item x="287"/>
        <item x="247"/>
        <item x="227"/>
        <item x="267"/>
        <item x="309"/>
        <item x="122"/>
        <item x="18"/>
        <item x="391"/>
        <item x="432"/>
        <item x="179"/>
        <item x="137"/>
        <item x="124"/>
        <item x="302"/>
        <item x="260"/>
        <item x="494"/>
        <item x="220"/>
        <item x="82"/>
        <item x="343"/>
        <item x="11"/>
        <item x="412"/>
        <item x="454"/>
        <item x="93"/>
        <item x="166"/>
        <item x="100"/>
        <item x="208"/>
        <item x="289"/>
        <item x="249"/>
        <item x="184"/>
        <item x="465"/>
        <item x="53"/>
        <item x="331"/>
        <item x="371"/>
        <item x="389"/>
        <item x="384"/>
        <item x="142"/>
        <item x="40"/>
        <item x="95"/>
        <item x="425"/>
        <item x="307"/>
        <item x="16"/>
        <item x="430"/>
        <item x="178"/>
        <item x="348"/>
        <item x="265"/>
        <item x="225"/>
        <item x="136"/>
        <item x="470"/>
        <item x="301"/>
        <item x="341"/>
        <item x="58"/>
        <item x="204"/>
        <item x="162"/>
        <item x="201"/>
        <item x="10"/>
        <item x="190"/>
        <item x="364"/>
        <item x="159"/>
        <item x="367"/>
        <item x="282"/>
        <item x="94"/>
        <item x="242"/>
        <item x="134"/>
        <item x="176"/>
        <item x="327"/>
        <item x="424"/>
        <item x="383"/>
        <item x="8"/>
        <item x="36"/>
        <item x="259"/>
        <item x="75"/>
        <item x="218"/>
        <item x="487"/>
        <item x="299"/>
        <item x="33"/>
        <item x="148"/>
        <item x="181"/>
        <item x="324"/>
        <item x="199"/>
        <item x="185"/>
        <item x="245"/>
        <item x="285"/>
        <item x="157"/>
        <item x="345"/>
        <item x="139"/>
        <item x="490"/>
        <item x="78"/>
        <item x="120"/>
        <item x="476"/>
        <item x="271"/>
        <item x="172"/>
        <item x="64"/>
        <item x="231"/>
        <item x="349"/>
        <item x="322"/>
        <item x="143"/>
        <item x="457"/>
        <item x="313"/>
        <item x="22"/>
        <item x="447"/>
        <item x="408"/>
        <item x="395"/>
        <item x="117"/>
        <item x="106"/>
        <item x="304"/>
        <item x="436"/>
        <item x="211"/>
        <item x="405"/>
        <item x="51"/>
        <item x="362"/>
        <item x="450"/>
        <item x="226"/>
        <item x="266"/>
        <item x="44"/>
        <item x="130"/>
        <item x="31"/>
        <item x="262"/>
        <item x="334"/>
        <item x="485"/>
        <item x="222"/>
        <item x="463"/>
        <item x="59"/>
        <item x="295"/>
        <item x="73"/>
        <item x="17"/>
        <item x="471"/>
        <item x="169"/>
        <item x="85"/>
        <item x="308"/>
        <item x="127"/>
        <item x="4"/>
        <item x="467"/>
        <item x="280"/>
        <item x="374"/>
        <item x="292"/>
        <item x="55"/>
        <item x="240"/>
        <item x="415"/>
        <item x="337"/>
        <item x="13"/>
        <item x="252"/>
        <item x="445"/>
        <item x="422"/>
        <item x="1"/>
        <item x="92"/>
        <item x="403"/>
        <item x="381"/>
        <item x="180"/>
        <item x="115"/>
        <item x="390"/>
        <item x="101"/>
        <item x="138"/>
        <item x="431"/>
        <item x="12"/>
        <item x="255"/>
        <item x="303"/>
        <item x="214"/>
        <item x="427"/>
        <item x="460"/>
        <item x="418"/>
        <item x="386"/>
        <item x="47"/>
        <item x="88"/>
        <item x="377"/>
        <item x="97"/>
        <item x="344"/>
        <item x="385"/>
        <item x="96"/>
        <item x="426"/>
        <item x="261"/>
        <item x="221"/>
        <item x="54"/>
        <item x="466"/>
        <item x="42"/>
        <item t="default"/>
      </items>
    </pivotField>
    <pivotField showAll="0">
      <items count="506">
        <item x="379"/>
        <item x="85"/>
        <item x="127"/>
        <item x="169"/>
        <item x="463"/>
        <item x="421"/>
        <item x="0"/>
        <item x="295"/>
        <item x="43"/>
        <item x="337"/>
        <item x="211"/>
        <item x="253"/>
        <item x="117"/>
        <item x="453"/>
        <item x="411"/>
        <item x="495"/>
        <item x="159"/>
        <item x="75"/>
        <item x="201"/>
        <item x="99"/>
        <item x="100"/>
        <item x="88"/>
        <item x="327"/>
        <item x="87"/>
        <item x="122"/>
        <item x="206"/>
        <item x="393"/>
        <item x="204"/>
        <item x="162"/>
        <item x="435"/>
        <item x="164"/>
        <item x="394"/>
        <item x="243"/>
        <item x="330"/>
        <item x="203"/>
        <item x="108"/>
        <item x="120"/>
        <item x="332"/>
        <item x="246"/>
        <item x="416"/>
        <item x="285"/>
        <item x="35"/>
        <item x="402"/>
        <item x="500"/>
        <item x="161"/>
        <item x="486"/>
        <item x="32"/>
        <item x="288"/>
        <item x="444"/>
        <item x="414"/>
        <item x="119"/>
        <item x="413"/>
        <item x="372"/>
        <item x="498"/>
        <item x="78"/>
        <item x="458"/>
        <item x="477"/>
        <item x="456"/>
        <item x="329"/>
        <item x="436"/>
        <item x="245"/>
        <item x="34"/>
        <item x="287"/>
        <item x="497"/>
        <item x="455"/>
        <item x="371"/>
        <item x="77"/>
        <item x="66"/>
        <item x="80"/>
        <item x="369"/>
        <item x="234"/>
        <item x="109"/>
        <item x="57"/>
        <item x="403"/>
        <item x="487"/>
        <item x="478"/>
        <item x="445"/>
        <item x="276"/>
        <item x="192"/>
        <item x="58"/>
        <item x="441"/>
        <item x="248"/>
        <item x="37"/>
        <item x="382"/>
        <item x="67"/>
        <item x="290"/>
        <item x="374"/>
        <item x="151"/>
        <item x="150"/>
        <item x="193"/>
        <item x="319"/>
        <item x="23"/>
        <item x="360"/>
        <item x="483"/>
        <item x="399"/>
        <item x="105"/>
        <item x="381"/>
        <item x="235"/>
        <item x="318"/>
        <item x="424"/>
        <item x="277"/>
        <item x="63"/>
        <item x="466"/>
        <item x="24"/>
        <item x="46"/>
        <item x="361"/>
        <item x="225"/>
        <item x="267"/>
        <item x="189"/>
        <item x="147"/>
        <item x="423"/>
        <item x="226"/>
        <item x="268"/>
        <item x="208"/>
        <item x="465"/>
        <item x="315"/>
        <item x="45"/>
        <item x="166"/>
        <item x="231"/>
        <item x="15"/>
        <item x="273"/>
        <item x="352"/>
        <item x="20"/>
        <item x="183"/>
        <item x="14"/>
        <item x="357"/>
        <item x="351"/>
        <item x="176"/>
        <item x="134"/>
        <item x="50"/>
        <item x="124"/>
        <item x="218"/>
        <item x="260"/>
        <item x="502"/>
        <item x="292"/>
        <item x="141"/>
        <item x="470"/>
        <item x="250"/>
        <item x="460"/>
        <item x="3"/>
        <item x="39"/>
        <item x="190"/>
        <item x="334"/>
        <item x="184"/>
        <item x="172"/>
        <item x="302"/>
        <item x="340"/>
        <item x="7"/>
        <item x="428"/>
        <item x="376"/>
        <item x="418"/>
        <item x="344"/>
        <item x="309"/>
        <item x="142"/>
        <item x="148"/>
        <item x="298"/>
        <item x="175"/>
        <item x="92"/>
        <item x="82"/>
        <item x="214"/>
        <item x="256"/>
        <item x="130"/>
        <item x="386"/>
        <item x="468"/>
        <item x="174"/>
        <item x="310"/>
        <item x="316"/>
        <item x="48"/>
        <item x="469"/>
        <item x="385"/>
        <item x="49"/>
        <item x="133"/>
        <item x="106"/>
        <item x="91"/>
        <item x="132"/>
        <item x="2"/>
        <item x="427"/>
        <item x="384"/>
        <item x="258"/>
        <item x="426"/>
        <item x="216"/>
        <item x="300"/>
        <item x="6"/>
        <item x="195"/>
        <item x="343"/>
        <item x="90"/>
        <item x="5"/>
        <item x="301"/>
        <item x="342"/>
        <item x="213"/>
        <item x="255"/>
        <item x="259"/>
        <item x="21"/>
        <item x="400"/>
        <item x="217"/>
        <item x="113"/>
        <item x="339"/>
        <item x="199"/>
        <item x="442"/>
        <item x="153"/>
        <item x="297"/>
        <item x="484"/>
        <item x="129"/>
        <item x="111"/>
        <item x="321"/>
        <item x="64"/>
        <item x="157"/>
        <item x="171"/>
        <item x="112"/>
        <item x="407"/>
        <item x="26"/>
        <item x="27"/>
        <item x="325"/>
        <item x="363"/>
        <item x="493"/>
        <item x="405"/>
        <item x="115"/>
        <item x="196"/>
        <item x="154"/>
        <item x="449"/>
        <item x="73"/>
        <item x="279"/>
        <item x="69"/>
        <item x="447"/>
        <item x="322"/>
        <item x="451"/>
        <item x="489"/>
        <item x="274"/>
        <item x="409"/>
        <item x="71"/>
        <item x="491"/>
        <item x="232"/>
        <item x="237"/>
        <item x="358"/>
        <item x="462"/>
        <item x="406"/>
        <item x="364"/>
        <item x="448"/>
        <item x="126"/>
        <item x="490"/>
        <item x="420"/>
        <item x="504"/>
        <item x="30"/>
        <item x="70"/>
        <item x="84"/>
        <item x="197"/>
        <item x="280"/>
        <item x="210"/>
        <item x="114"/>
        <item x="367"/>
        <item x="168"/>
        <item x="238"/>
        <item x="283"/>
        <item x="408"/>
        <item x="155"/>
        <item x="239"/>
        <item x="241"/>
        <item x="41"/>
        <item x="252"/>
        <item x="450"/>
        <item x="378"/>
        <item x="281"/>
        <item x="336"/>
        <item x="188"/>
        <item x="28"/>
        <item x="365"/>
        <item x="294"/>
        <item x="492"/>
        <item x="72"/>
        <item x="323"/>
        <item x="178"/>
        <item x="146"/>
        <item x="304"/>
        <item x="136"/>
        <item x="9"/>
        <item x="240"/>
        <item x="346"/>
        <item x="488"/>
        <item x="68"/>
        <item x="314"/>
        <item x="110"/>
        <item x="152"/>
        <item x="194"/>
        <item x="282"/>
        <item x="220"/>
        <item x="440"/>
        <item x="320"/>
        <item x="388"/>
        <item x="262"/>
        <item x="398"/>
        <item x="404"/>
        <item x="236"/>
        <item x="104"/>
        <item x="482"/>
        <item x="430"/>
        <item x="52"/>
        <item x="446"/>
        <item x="62"/>
        <item x="207"/>
        <item x="472"/>
        <item x="25"/>
        <item x="94"/>
        <item x="278"/>
        <item x="230"/>
        <item x="362"/>
        <item x="29"/>
        <item x="19"/>
        <item x="366"/>
        <item x="165"/>
        <item x="198"/>
        <item x="356"/>
        <item x="187"/>
        <item x="145"/>
        <item x="272"/>
        <item x="156"/>
        <item x="324"/>
        <item x="313"/>
        <item x="123"/>
        <item x="333"/>
        <item x="18"/>
        <item x="417"/>
        <item x="355"/>
        <item x="459"/>
        <item x="501"/>
        <item x="81"/>
        <item x="61"/>
        <item x="38"/>
        <item x="375"/>
        <item x="229"/>
        <item x="481"/>
        <item x="271"/>
        <item x="249"/>
        <item x="103"/>
        <item x="439"/>
        <item x="291"/>
        <item x="397"/>
        <item x="503"/>
        <item x="185"/>
        <item x="461"/>
        <item x="125"/>
        <item x="419"/>
        <item x="83"/>
        <item x="143"/>
        <item x="209"/>
        <item x="311"/>
        <item x="180"/>
        <item x="167"/>
        <item x="138"/>
        <item x="293"/>
        <item x="335"/>
        <item x="251"/>
        <item x="40"/>
        <item x="377"/>
        <item x="135"/>
        <item x="432"/>
        <item x="177"/>
        <item x="474"/>
        <item x="306"/>
        <item x="200"/>
        <item x="54"/>
        <item x="96"/>
        <item x="390"/>
        <item x="22"/>
        <item x="303"/>
        <item x="359"/>
        <item x="222"/>
        <item x="443"/>
        <item x="179"/>
        <item x="158"/>
        <item x="479"/>
        <item x="275"/>
        <item x="264"/>
        <item x="485"/>
        <item x="437"/>
        <item x="107"/>
        <item x="401"/>
        <item x="191"/>
        <item x="11"/>
        <item x="348"/>
        <item x="65"/>
        <item x="59"/>
        <item x="395"/>
        <item x="137"/>
        <item x="233"/>
        <item x="8"/>
        <item x="160"/>
        <item x="101"/>
        <item x="118"/>
        <item x="149"/>
        <item x="345"/>
        <item x="202"/>
        <item x="326"/>
        <item x="219"/>
        <item x="317"/>
        <item x="471"/>
        <item x="412"/>
        <item x="429"/>
        <item x="31"/>
        <item x="305"/>
        <item x="261"/>
        <item x="51"/>
        <item x="368"/>
        <item x="454"/>
        <item x="496"/>
        <item x="452"/>
        <item x="74"/>
        <item x="76"/>
        <item x="387"/>
        <item x="116"/>
        <item x="93"/>
        <item x="284"/>
        <item x="328"/>
        <item x="494"/>
        <item x="410"/>
        <item x="33"/>
        <item x="244"/>
        <item x="53"/>
        <item x="242"/>
        <item x="431"/>
        <item x="95"/>
        <item x="389"/>
        <item x="10"/>
        <item x="473"/>
        <item x="263"/>
        <item x="221"/>
        <item x="347"/>
        <item x="370"/>
        <item x="286"/>
        <item x="1"/>
        <item x="140"/>
        <item x="182"/>
        <item x="173"/>
        <item x="16"/>
        <item x="353"/>
        <item x="434"/>
        <item x="476"/>
        <item x="227"/>
        <item x="186"/>
        <item x="56"/>
        <item x="464"/>
        <item x="131"/>
        <item x="269"/>
        <item x="44"/>
        <item x="308"/>
        <item x="215"/>
        <item x="86"/>
        <item x="380"/>
        <item x="392"/>
        <item x="422"/>
        <item x="254"/>
        <item x="212"/>
        <item x="144"/>
        <item x="98"/>
        <item x="47"/>
        <item x="170"/>
        <item x="257"/>
        <item x="467"/>
        <item x="338"/>
        <item x="128"/>
        <item x="4"/>
        <item x="299"/>
        <item x="13"/>
        <item x="341"/>
        <item x="296"/>
        <item x="350"/>
        <item x="425"/>
        <item x="205"/>
        <item x="224"/>
        <item x="383"/>
        <item x="89"/>
        <item x="60"/>
        <item x="266"/>
        <item x="480"/>
        <item x="17"/>
        <item x="438"/>
        <item x="354"/>
        <item x="102"/>
        <item x="270"/>
        <item x="163"/>
        <item x="228"/>
        <item x="396"/>
        <item x="312"/>
        <item x="331"/>
        <item x="247"/>
        <item x="79"/>
        <item x="36"/>
        <item x="373"/>
        <item x="457"/>
        <item x="499"/>
        <item x="181"/>
        <item x="289"/>
        <item x="415"/>
        <item x="121"/>
        <item x="139"/>
        <item x="12"/>
        <item x="307"/>
        <item x="349"/>
        <item x="265"/>
        <item x="97"/>
        <item x="391"/>
        <item x="433"/>
        <item x="55"/>
        <item x="475"/>
        <item x="223"/>
        <item x="42"/>
        <item t="default"/>
      </items>
    </pivotField>
    <pivotField showAll="0">
      <items count="506">
        <item x="85"/>
        <item x="379"/>
        <item x="463"/>
        <item x="421"/>
        <item x="169"/>
        <item x="127"/>
        <item x="43"/>
        <item x="295"/>
        <item x="0"/>
        <item x="337"/>
        <item x="253"/>
        <item x="211"/>
        <item x="159"/>
        <item x="204"/>
        <item x="117"/>
        <item x="201"/>
        <item x="162"/>
        <item x="411"/>
        <item x="327"/>
        <item x="330"/>
        <item x="453"/>
        <item x="35"/>
        <item x="99"/>
        <item x="120"/>
        <item x="495"/>
        <item x="108"/>
        <item x="372"/>
        <item x="456"/>
        <item x="32"/>
        <item x="288"/>
        <item x="100"/>
        <item x="246"/>
        <item x="414"/>
        <item x="75"/>
        <item x="78"/>
        <item x="498"/>
        <item x="369"/>
        <item x="285"/>
        <item x="243"/>
        <item x="203"/>
        <item x="161"/>
        <item x="393"/>
        <item x="394"/>
        <item x="435"/>
        <item x="436"/>
        <item x="119"/>
        <item x="455"/>
        <item x="329"/>
        <item x="34"/>
        <item x="413"/>
        <item x="371"/>
        <item x="402"/>
        <item x="287"/>
        <item x="245"/>
        <item x="77"/>
        <item x="444"/>
        <item x="497"/>
        <item x="122"/>
        <item x="57"/>
        <item x="477"/>
        <item x="58"/>
        <item x="478"/>
        <item x="486"/>
        <item x="141"/>
        <item x="183"/>
        <item x="184"/>
        <item x="66"/>
        <item x="175"/>
        <item x="309"/>
        <item x="142"/>
        <item x="14"/>
        <item x="133"/>
        <item x="351"/>
        <item x="192"/>
        <item x="150"/>
        <item x="267"/>
        <item x="225"/>
        <item x="88"/>
        <item x="87"/>
        <item x="301"/>
        <item x="174"/>
        <item x="6"/>
        <item x="310"/>
        <item x="23"/>
        <item x="15"/>
        <item x="132"/>
        <item x="352"/>
        <item x="343"/>
        <item x="259"/>
        <item x="217"/>
        <item x="360"/>
        <item x="234"/>
        <item x="49"/>
        <item x="276"/>
        <item x="318"/>
        <item x="427"/>
        <item x="268"/>
        <item x="469"/>
        <item x="226"/>
        <item x="91"/>
        <item x="164"/>
        <item x="385"/>
        <item x="206"/>
        <item x="90"/>
        <item x="300"/>
        <item x="426"/>
        <item x="5"/>
        <item x="384"/>
        <item x="342"/>
        <item x="258"/>
        <item x="216"/>
        <item x="48"/>
        <item x="468"/>
        <item x="332"/>
        <item x="416"/>
        <item x="193"/>
        <item x="37"/>
        <item x="109"/>
        <item x="458"/>
        <item x="151"/>
        <item x="113"/>
        <item x="407"/>
        <item x="449"/>
        <item x="106"/>
        <item x="445"/>
        <item x="374"/>
        <item x="197"/>
        <item x="403"/>
        <item x="290"/>
        <item x="400"/>
        <item x="382"/>
        <item x="248"/>
        <item x="487"/>
        <item x="67"/>
        <item x="319"/>
        <item x="424"/>
        <item x="80"/>
        <item x="500"/>
        <item x="176"/>
        <item x="195"/>
        <item x="24"/>
        <item x="491"/>
        <item x="381"/>
        <item x="466"/>
        <item x="71"/>
        <item x="153"/>
        <item x="442"/>
        <item x="134"/>
        <item x="111"/>
        <item x="484"/>
        <item x="155"/>
        <item x="46"/>
        <item x="64"/>
        <item x="423"/>
        <item x="235"/>
        <item x="277"/>
        <item x="361"/>
        <item x="210"/>
        <item x="114"/>
        <item x="115"/>
        <item x="112"/>
        <item x="408"/>
        <item x="441"/>
        <item x="196"/>
        <item x="168"/>
        <item x="450"/>
        <item x="321"/>
        <item x="154"/>
        <item x="447"/>
        <item x="465"/>
        <item x="45"/>
        <item x="365"/>
        <item x="110"/>
        <item x="28"/>
        <item x="281"/>
        <item x="239"/>
        <item x="405"/>
        <item x="26"/>
        <item x="399"/>
        <item x="190"/>
        <item x="323"/>
        <item x="69"/>
        <item x="147"/>
        <item x="126"/>
        <item x="21"/>
        <item x="92"/>
        <item x="358"/>
        <item x="302"/>
        <item x="194"/>
        <item x="274"/>
        <item x="232"/>
        <item x="363"/>
        <item x="7"/>
        <item x="448"/>
        <item x="336"/>
        <item x="489"/>
        <item x="105"/>
        <item x="406"/>
        <item x="279"/>
        <item x="199"/>
        <item x="208"/>
        <item x="322"/>
        <item x="104"/>
        <item x="189"/>
        <item x="124"/>
        <item x="148"/>
        <item x="70"/>
        <item x="483"/>
        <item x="157"/>
        <item x="492"/>
        <item x="237"/>
        <item x="63"/>
        <item x="428"/>
        <item x="325"/>
        <item x="386"/>
        <item x="462"/>
        <item x="103"/>
        <item x="152"/>
        <item x="470"/>
        <item x="30"/>
        <item x="72"/>
        <item x="41"/>
        <item x="344"/>
        <item x="316"/>
        <item x="490"/>
        <item x="27"/>
        <item x="50"/>
        <item x="420"/>
        <item x="260"/>
        <item x="367"/>
        <item x="315"/>
        <item x="198"/>
        <item x="218"/>
        <item x="166"/>
        <item x="283"/>
        <item x="241"/>
        <item x="460"/>
        <item x="364"/>
        <item x="73"/>
        <item x="156"/>
        <item x="280"/>
        <item x="238"/>
        <item x="20"/>
        <item x="451"/>
        <item x="446"/>
        <item x="334"/>
        <item x="404"/>
        <item x="172"/>
        <item x="409"/>
        <item x="39"/>
        <item x="504"/>
        <item x="130"/>
        <item x="188"/>
        <item x="418"/>
        <item x="84"/>
        <item x="320"/>
        <item x="493"/>
        <item x="273"/>
        <item x="231"/>
        <item x="25"/>
        <item x="366"/>
        <item x="282"/>
        <item x="240"/>
        <item x="146"/>
        <item x="376"/>
        <item x="29"/>
        <item x="340"/>
        <item x="357"/>
        <item x="378"/>
        <item x="292"/>
        <item x="256"/>
        <item x="250"/>
        <item x="362"/>
        <item x="488"/>
        <item x="440"/>
        <item x="294"/>
        <item x="68"/>
        <item x="214"/>
        <item x="324"/>
        <item x="252"/>
        <item x="278"/>
        <item x="82"/>
        <item x="398"/>
        <item x="3"/>
        <item x="502"/>
        <item x="314"/>
        <item x="207"/>
        <item x="187"/>
        <item x="298"/>
        <item x="19"/>
        <item x="145"/>
        <item x="236"/>
        <item x="171"/>
        <item x="356"/>
        <item x="129"/>
        <item x="272"/>
        <item x="313"/>
        <item x="230"/>
        <item x="439"/>
        <item x="18"/>
        <item x="165"/>
        <item x="178"/>
        <item x="213"/>
        <item x="62"/>
        <item x="255"/>
        <item x="339"/>
        <item x="136"/>
        <item x="355"/>
        <item x="482"/>
        <item x="397"/>
        <item x="2"/>
        <item x="271"/>
        <item x="297"/>
        <item x="304"/>
        <item x="229"/>
        <item x="9"/>
        <item x="61"/>
        <item x="333"/>
        <item x="481"/>
        <item x="346"/>
        <item x="125"/>
        <item x="459"/>
        <item x="38"/>
        <item x="375"/>
        <item x="262"/>
        <item x="220"/>
        <item x="291"/>
        <item x="52"/>
        <item x="472"/>
        <item x="417"/>
        <item x="249"/>
        <item x="430"/>
        <item x="81"/>
        <item x="388"/>
        <item x="123"/>
        <item x="501"/>
        <item x="94"/>
        <item x="461"/>
        <item x="419"/>
        <item x="180"/>
        <item x="191"/>
        <item x="138"/>
        <item x="185"/>
        <item x="149"/>
        <item x="143"/>
        <item x="306"/>
        <item x="11"/>
        <item x="348"/>
        <item x="160"/>
        <item x="209"/>
        <item x="83"/>
        <item x="503"/>
        <item x="317"/>
        <item x="202"/>
        <item x="264"/>
        <item x="167"/>
        <item x="222"/>
        <item x="205"/>
        <item x="22"/>
        <item x="54"/>
        <item x="328"/>
        <item x="163"/>
        <item x="474"/>
        <item x="311"/>
        <item x="432"/>
        <item x="359"/>
        <item x="335"/>
        <item x="390"/>
        <item x="33"/>
        <item x="275"/>
        <item x="96"/>
        <item x="16"/>
        <item x="177"/>
        <item x="200"/>
        <item x="135"/>
        <item x="40"/>
        <item x="370"/>
        <item x="331"/>
        <item x="158"/>
        <item x="377"/>
        <item x="303"/>
        <item x="353"/>
        <item x="286"/>
        <item x="293"/>
        <item x="36"/>
        <item x="233"/>
        <item x="326"/>
        <item x="65"/>
        <item x="244"/>
        <item x="269"/>
        <item x="485"/>
        <item x="251"/>
        <item x="8"/>
        <item x="76"/>
        <item x="496"/>
        <item x="454"/>
        <item x="227"/>
        <item x="59"/>
        <item x="443"/>
        <item x="479"/>
        <item x="101"/>
        <item x="437"/>
        <item x="373"/>
        <item x="181"/>
        <item x="395"/>
        <item x="107"/>
        <item x="289"/>
        <item x="345"/>
        <item x="118"/>
        <item x="86"/>
        <item x="412"/>
        <item x="170"/>
        <item x="401"/>
        <item x="121"/>
        <item x="380"/>
        <item x="261"/>
        <item x="139"/>
        <item x="31"/>
        <item x="422"/>
        <item x="128"/>
        <item x="247"/>
        <item x="457"/>
        <item x="79"/>
        <item x="219"/>
        <item x="464"/>
        <item x="51"/>
        <item x="415"/>
        <item x="499"/>
        <item x="471"/>
        <item x="307"/>
        <item x="429"/>
        <item x="387"/>
        <item x="368"/>
        <item x="93"/>
        <item x="452"/>
        <item x="44"/>
        <item x="284"/>
        <item x="296"/>
        <item x="12"/>
        <item x="410"/>
        <item x="242"/>
        <item x="1"/>
        <item x="74"/>
        <item x="116"/>
        <item x="494"/>
        <item x="179"/>
        <item x="338"/>
        <item x="144"/>
        <item x="137"/>
        <item x="254"/>
        <item x="212"/>
        <item x="173"/>
        <item x="305"/>
        <item x="186"/>
        <item x="10"/>
        <item x="347"/>
        <item x="263"/>
        <item x="221"/>
        <item x="431"/>
        <item x="53"/>
        <item x="131"/>
        <item x="349"/>
        <item x="473"/>
        <item x="389"/>
        <item x="95"/>
        <item x="182"/>
        <item x="299"/>
        <item x="265"/>
        <item x="4"/>
        <item x="89"/>
        <item x="312"/>
        <item x="425"/>
        <item x="383"/>
        <item x="102"/>
        <item x="438"/>
        <item x="17"/>
        <item x="223"/>
        <item x="55"/>
        <item x="341"/>
        <item x="475"/>
        <item x="433"/>
        <item x="140"/>
        <item x="391"/>
        <item x="396"/>
        <item x="354"/>
        <item x="97"/>
        <item x="47"/>
        <item x="467"/>
        <item x="257"/>
        <item x="215"/>
        <item x="270"/>
        <item x="308"/>
        <item x="228"/>
        <item x="60"/>
        <item x="480"/>
        <item x="13"/>
        <item x="350"/>
        <item x="98"/>
        <item x="266"/>
        <item x="224"/>
        <item x="476"/>
        <item x="56"/>
        <item x="392"/>
        <item x="434"/>
        <item x="42"/>
        <item t="default"/>
      </items>
    </pivotField>
    <pivotField showAll="0">
      <items count="505">
        <item x="85"/>
        <item x="378"/>
        <item x="420"/>
        <item x="462"/>
        <item x="169"/>
        <item x="127"/>
        <item x="43"/>
        <item x="0"/>
        <item x="294"/>
        <item x="336"/>
        <item x="252"/>
        <item x="210"/>
        <item x="100"/>
        <item x="393"/>
        <item x="99"/>
        <item x="35"/>
        <item x="435"/>
        <item x="202"/>
        <item x="477"/>
        <item x="162"/>
        <item x="371"/>
        <item x="161"/>
        <item x="203"/>
        <item x="392"/>
        <item x="287"/>
        <item x="476"/>
        <item x="497"/>
        <item x="434"/>
        <item x="34"/>
        <item x="455"/>
        <item x="329"/>
        <item x="413"/>
        <item x="120"/>
        <item x="78"/>
        <item x="328"/>
        <item x="245"/>
        <item x="57"/>
        <item x="58"/>
        <item x="108"/>
        <item x="370"/>
        <item x="286"/>
        <item x="244"/>
        <item x="401"/>
        <item x="77"/>
        <item x="485"/>
        <item x="443"/>
        <item x="496"/>
        <item x="119"/>
        <item x="224"/>
        <item x="454"/>
        <item x="117"/>
        <item x="412"/>
        <item x="164"/>
        <item x="266"/>
        <item x="331"/>
        <item x="350"/>
        <item x="225"/>
        <item x="205"/>
        <item x="141"/>
        <item x="66"/>
        <item x="182"/>
        <item x="267"/>
        <item x="351"/>
        <item x="308"/>
        <item x="109"/>
        <item x="14"/>
        <item x="37"/>
        <item x="183"/>
        <item x="122"/>
        <item x="142"/>
        <item x="309"/>
        <item x="15"/>
        <item x="410"/>
        <item x="150"/>
        <item x="191"/>
        <item x="452"/>
        <item x="494"/>
        <item x="233"/>
        <item x="317"/>
        <item x="159"/>
        <item x="23"/>
        <item x="75"/>
        <item x="275"/>
        <item x="359"/>
        <item x="32"/>
        <item x="373"/>
        <item x="200"/>
        <item x="326"/>
        <item x="80"/>
        <item x="247"/>
        <item x="289"/>
        <item x="242"/>
        <item x="284"/>
        <item x="368"/>
        <item x="415"/>
        <item x="402"/>
        <item x="457"/>
        <item x="499"/>
        <item x="444"/>
        <item x="486"/>
        <item x="257"/>
        <item x="342"/>
        <item x="91"/>
        <item x="88"/>
        <item x="48"/>
        <item x="468"/>
        <item x="215"/>
        <item x="426"/>
        <item x="132"/>
        <item x="384"/>
        <item x="49"/>
        <item x="174"/>
        <item x="90"/>
        <item x="467"/>
        <item x="258"/>
        <item x="425"/>
        <item x="6"/>
        <item x="87"/>
        <item x="383"/>
        <item x="216"/>
        <item x="341"/>
        <item x="67"/>
        <item x="5"/>
        <item x="299"/>
        <item x="133"/>
        <item x="300"/>
        <item x="234"/>
        <item x="113"/>
        <item x="406"/>
        <item x="381"/>
        <item x="448"/>
        <item x="490"/>
        <item x="71"/>
        <item x="423"/>
        <item x="465"/>
        <item x="46"/>
        <item x="276"/>
        <item x="238"/>
        <item x="153"/>
        <item x="280"/>
        <item x="380"/>
        <item x="194"/>
        <item x="422"/>
        <item x="464"/>
        <item x="364"/>
        <item x="213"/>
        <item x="45"/>
        <item x="255"/>
        <item x="188"/>
        <item x="147"/>
        <item x="320"/>
        <item x="26"/>
        <item x="482"/>
        <item x="339"/>
        <item x="440"/>
        <item x="362"/>
        <item x="236"/>
        <item x="278"/>
        <item x="398"/>
        <item x="70"/>
        <item x="63"/>
        <item x="20"/>
        <item x="237"/>
        <item x="155"/>
        <item x="69"/>
        <item x="111"/>
        <item x="254"/>
        <item x="112"/>
        <item x="28"/>
        <item x="314"/>
        <item x="488"/>
        <item x="404"/>
        <item x="446"/>
        <item x="212"/>
        <item x="279"/>
        <item x="157"/>
        <item x="209"/>
        <item x="198"/>
        <item x="175"/>
        <item x="114"/>
        <item x="134"/>
        <item x="360"/>
        <item x="338"/>
        <item x="196"/>
        <item x="24"/>
        <item x="168"/>
        <item x="272"/>
        <item x="259"/>
        <item x="447"/>
        <item x="489"/>
        <item x="405"/>
        <item x="151"/>
        <item x="407"/>
        <item x="3"/>
        <item x="230"/>
        <item x="343"/>
        <item x="154"/>
        <item x="195"/>
        <item x="449"/>
        <item x="322"/>
        <item x="491"/>
        <item x="110"/>
        <item x="192"/>
        <item x="207"/>
        <item x="363"/>
        <item x="50"/>
        <item x="82"/>
        <item x="217"/>
        <item x="124"/>
        <item x="445"/>
        <item x="487"/>
        <item x="318"/>
        <item x="324"/>
        <item x="403"/>
        <item x="356"/>
        <item x="72"/>
        <item x="321"/>
        <item x="469"/>
        <item x="152"/>
        <item x="427"/>
        <item x="68"/>
        <item x="385"/>
        <item x="193"/>
        <item x="27"/>
        <item x="501"/>
        <item x="301"/>
        <item x="503"/>
        <item x="459"/>
        <item x="461"/>
        <item x="25"/>
        <item x="166"/>
        <item x="84"/>
        <item x="92"/>
        <item x="277"/>
        <item x="417"/>
        <item x="419"/>
        <item x="7"/>
        <item x="291"/>
        <item x="335"/>
        <item x="30"/>
        <item x="319"/>
        <item x="249"/>
        <item x="235"/>
        <item x="126"/>
        <item x="375"/>
        <item x="2"/>
        <item x="361"/>
        <item x="41"/>
        <item x="130"/>
        <item x="366"/>
        <item x="297"/>
        <item x="481"/>
        <item x="439"/>
        <item x="172"/>
        <item x="104"/>
        <item x="62"/>
        <item x="397"/>
        <item x="282"/>
        <item x="39"/>
        <item x="105"/>
        <item x="146"/>
        <item x="296"/>
        <item x="229"/>
        <item x="240"/>
        <item x="197"/>
        <item x="313"/>
        <item x="115"/>
        <item x="271"/>
        <item x="333"/>
        <item x="156"/>
        <item x="129"/>
        <item x="73"/>
        <item x="171"/>
        <item x="377"/>
        <item x="492"/>
        <item x="450"/>
        <item x="408"/>
        <item x="19"/>
        <item x="29"/>
        <item x="355"/>
        <item x="187"/>
        <item x="323"/>
        <item x="365"/>
        <item x="106"/>
        <item x="293"/>
        <item x="281"/>
        <item x="239"/>
        <item x="189"/>
        <item x="399"/>
        <item x="21"/>
        <item x="148"/>
        <item x="357"/>
        <item x="273"/>
        <item x="64"/>
        <item x="315"/>
        <item x="231"/>
        <item x="251"/>
        <item x="483"/>
        <item x="441"/>
        <item x="186"/>
        <item x="206"/>
        <item x="145"/>
        <item x="165"/>
        <item x="312"/>
        <item x="38"/>
        <item x="18"/>
        <item x="123"/>
        <item x="103"/>
        <item x="332"/>
        <item x="125"/>
        <item x="500"/>
        <item x="460"/>
        <item x="81"/>
        <item x="458"/>
        <item x="416"/>
        <item x="418"/>
        <item x="290"/>
        <item x="354"/>
        <item x="177"/>
        <item x="270"/>
        <item x="248"/>
        <item x="167"/>
        <item x="136"/>
        <item x="502"/>
        <item x="208"/>
        <item x="374"/>
        <item x="228"/>
        <item x="61"/>
        <item x="83"/>
        <item x="9"/>
        <item x="303"/>
        <item x="480"/>
        <item x="250"/>
        <item x="438"/>
        <item x="292"/>
        <item x="376"/>
        <item x="334"/>
        <item x="40"/>
        <item x="396"/>
        <item x="345"/>
        <item x="261"/>
        <item x="219"/>
        <item x="471"/>
        <item x="429"/>
        <item x="52"/>
        <item x="387"/>
        <item x="94"/>
        <item x="184"/>
        <item x="180"/>
        <item x="190"/>
        <item x="201"/>
        <item x="143"/>
        <item x="149"/>
        <item x="139"/>
        <item x="316"/>
        <item x="179"/>
        <item x="160"/>
        <item x="306"/>
        <item x="12"/>
        <item x="22"/>
        <item x="310"/>
        <item x="138"/>
        <item x="358"/>
        <item x="16"/>
        <item x="305"/>
        <item x="11"/>
        <item x="347"/>
        <item x="274"/>
        <item x="263"/>
        <item x="232"/>
        <item x="327"/>
        <item x="204"/>
        <item x="221"/>
        <item x="163"/>
        <item x="33"/>
        <item x="65"/>
        <item x="178"/>
        <item x="330"/>
        <item x="137"/>
        <item x="54"/>
        <item x="352"/>
        <item x="96"/>
        <item x="484"/>
        <item x="140"/>
        <item x="176"/>
        <item x="442"/>
        <item x="400"/>
        <item x="107"/>
        <item x="473"/>
        <item x="431"/>
        <item x="389"/>
        <item x="304"/>
        <item x="369"/>
        <item x="135"/>
        <item x="36"/>
        <item x="10"/>
        <item x="181"/>
        <item x="268"/>
        <item x="302"/>
        <item x="372"/>
        <item x="346"/>
        <item x="226"/>
        <item x="8"/>
        <item x="307"/>
        <item x="220"/>
        <item x="262"/>
        <item x="53"/>
        <item x="344"/>
        <item x="13"/>
        <item x="285"/>
        <item x="95"/>
        <item x="118"/>
        <item x="430"/>
        <item x="472"/>
        <item x="495"/>
        <item x="453"/>
        <item x="388"/>
        <item x="86"/>
        <item x="411"/>
        <item x="76"/>
        <item x="260"/>
        <item x="349"/>
        <item x="463"/>
        <item x="379"/>
        <item x="59"/>
        <item x="421"/>
        <item x="288"/>
        <item x="93"/>
        <item x="128"/>
        <item x="436"/>
        <item x="478"/>
        <item x="51"/>
        <item x="243"/>
        <item x="470"/>
        <item x="394"/>
        <item x="428"/>
        <item x="386"/>
        <item x="218"/>
        <item x="246"/>
        <item x="170"/>
        <item x="79"/>
        <item x="101"/>
        <item x="121"/>
        <item x="158"/>
        <item x="498"/>
        <item x="456"/>
        <item x="414"/>
        <item x="295"/>
        <item x="44"/>
        <item x="199"/>
        <item x="325"/>
        <item x="337"/>
        <item x="1"/>
        <item x="211"/>
        <item x="253"/>
        <item x="265"/>
        <item x="173"/>
        <item x="31"/>
        <item x="131"/>
        <item x="223"/>
        <item x="56"/>
        <item x="367"/>
        <item x="4"/>
        <item x="298"/>
        <item x="98"/>
        <item x="475"/>
        <item x="433"/>
        <item x="391"/>
        <item x="116"/>
        <item x="283"/>
        <item x="348"/>
        <item x="340"/>
        <item x="493"/>
        <item x="451"/>
        <item x="409"/>
        <item x="256"/>
        <item x="74"/>
        <item x="185"/>
        <item x="241"/>
        <item x="47"/>
        <item x="97"/>
        <item x="214"/>
        <item x="390"/>
        <item x="424"/>
        <item x="466"/>
        <item x="474"/>
        <item x="382"/>
        <item x="432"/>
        <item x="89"/>
        <item x="55"/>
        <item x="102"/>
        <item x="17"/>
        <item x="479"/>
        <item x="437"/>
        <item x="144"/>
        <item x="60"/>
        <item x="395"/>
        <item x="269"/>
        <item x="353"/>
        <item x="227"/>
        <item x="264"/>
        <item x="311"/>
        <item x="222"/>
        <item x="42"/>
        <item t="default"/>
      </items>
    </pivotField>
    <pivotField dataField="1" showAll="0">
      <items count="499">
        <item x="85"/>
        <item x="372"/>
        <item x="414"/>
        <item x="456"/>
        <item x="43"/>
        <item x="169"/>
        <item x="127"/>
        <item x="0"/>
        <item x="211"/>
        <item x="253"/>
        <item x="295"/>
        <item x="330"/>
        <item x="159"/>
        <item x="201"/>
        <item x="320"/>
        <item x="32"/>
        <item x="117"/>
        <item x="404"/>
        <item x="108"/>
        <item x="162"/>
        <item x="395"/>
        <item x="99"/>
        <item x="386"/>
        <item x="204"/>
        <item x="323"/>
        <item x="35"/>
        <item x="488"/>
        <item x="446"/>
        <item x="479"/>
        <item x="437"/>
        <item x="365"/>
        <item x="161"/>
        <item x="66"/>
        <item x="491"/>
        <item x="75"/>
        <item x="120"/>
        <item x="407"/>
        <item x="449"/>
        <item x="78"/>
        <item x="470"/>
        <item x="428"/>
        <item x="203"/>
        <item x="288"/>
        <item x="57"/>
        <item x="34"/>
        <item x="246"/>
        <item x="322"/>
        <item x="100"/>
        <item x="364"/>
        <item x="183"/>
        <item x="387"/>
        <item x="141"/>
        <item x="490"/>
        <item x="448"/>
        <item x="119"/>
        <item x="406"/>
        <item x="287"/>
        <item x="77"/>
        <item x="234"/>
        <item x="276"/>
        <item x="353"/>
        <item x="362"/>
        <item x="245"/>
        <item x="58"/>
        <item x="471"/>
        <item x="429"/>
        <item x="225"/>
        <item x="14"/>
        <item x="302"/>
        <item x="344"/>
        <item x="151"/>
        <item x="267"/>
        <item x="184"/>
        <item x="193"/>
        <item x="312"/>
        <item x="109"/>
        <item x="142"/>
        <item x="285"/>
        <item x="150"/>
        <item x="122"/>
        <item x="24"/>
        <item x="192"/>
        <item x="23"/>
        <item x="396"/>
        <item x="67"/>
        <item x="15"/>
        <item x="303"/>
        <item x="243"/>
        <item x="409"/>
        <item x="311"/>
        <item x="226"/>
        <item x="133"/>
        <item x="480"/>
        <item x="206"/>
        <item x="438"/>
        <item x="175"/>
        <item x="345"/>
        <item x="268"/>
        <item x="164"/>
        <item x="80"/>
        <item x="493"/>
        <item x="6"/>
        <item x="451"/>
        <item x="336"/>
        <item x="325"/>
        <item x="259"/>
        <item x="37"/>
        <item x="49"/>
        <item x="420"/>
        <item x="462"/>
        <item x="217"/>
        <item x="91"/>
        <item x="378"/>
        <item x="88"/>
        <item x="375"/>
        <item x="354"/>
        <item x="367"/>
        <item x="248"/>
        <item x="335"/>
        <item x="174"/>
        <item x="132"/>
        <item x="277"/>
        <item x="258"/>
        <item x="290"/>
        <item x="5"/>
        <item x="216"/>
        <item x="235"/>
        <item x="87"/>
        <item x="417"/>
        <item x="459"/>
        <item x="48"/>
        <item x="46"/>
        <item x="461"/>
        <item x="419"/>
        <item x="374"/>
        <item x="377"/>
        <item x="90"/>
        <item x="476"/>
        <item x="434"/>
        <item x="63"/>
        <item x="195"/>
        <item x="392"/>
        <item x="154"/>
        <item x="333"/>
        <item x="208"/>
        <item x="497"/>
        <item x="455"/>
        <item x="153"/>
        <item x="256"/>
        <item x="214"/>
        <item x="413"/>
        <item x="126"/>
        <item x="314"/>
        <item x="196"/>
        <item x="157"/>
        <item x="166"/>
        <item x="199"/>
        <item x="84"/>
        <item x="168"/>
        <item x="113"/>
        <item x="400"/>
        <item x="315"/>
        <item x="210"/>
        <item x="176"/>
        <item x="442"/>
        <item x="484"/>
        <item x="71"/>
        <item x="172"/>
        <item x="26"/>
        <item x="130"/>
        <item x="155"/>
        <item x="327"/>
        <item x="318"/>
        <item x="39"/>
        <item x="3"/>
        <item x="358"/>
        <item x="281"/>
        <item x="298"/>
        <item x="239"/>
        <item x="30"/>
        <item x="356"/>
        <item x="134"/>
        <item x="197"/>
        <item x="416"/>
        <item x="458"/>
        <item x="28"/>
        <item x="147"/>
        <item x="357"/>
        <item x="279"/>
        <item x="329"/>
        <item x="50"/>
        <item x="316"/>
        <item x="231"/>
        <item x="283"/>
        <item x="45"/>
        <item x="360"/>
        <item x="399"/>
        <item x="112"/>
        <item x="260"/>
        <item x="27"/>
        <item x="280"/>
        <item x="241"/>
        <item x="218"/>
        <item x="463"/>
        <item x="41"/>
        <item x="421"/>
        <item x="189"/>
        <item x="111"/>
        <item x="114"/>
        <item x="308"/>
        <item x="483"/>
        <item x="441"/>
        <item x="273"/>
        <item x="401"/>
        <item x="379"/>
        <item x="20"/>
        <item x="255"/>
        <item x="70"/>
        <item x="92"/>
        <item x="398"/>
        <item x="237"/>
        <item x="369"/>
        <item x="337"/>
        <item x="7"/>
        <item x="443"/>
        <item x="115"/>
        <item x="485"/>
        <item x="350"/>
        <item x="402"/>
        <item x="486"/>
        <item x="444"/>
        <item x="482"/>
        <item x="238"/>
        <item x="440"/>
        <item x="69"/>
        <item x="72"/>
        <item x="213"/>
        <item x="73"/>
        <item x="332"/>
        <item x="105"/>
        <item x="495"/>
        <item x="453"/>
        <item x="292"/>
        <item x="82"/>
        <item x="188"/>
        <item x="129"/>
        <item x="282"/>
        <item x="250"/>
        <item x="2"/>
        <item x="252"/>
        <item x="146"/>
        <item x="359"/>
        <item x="240"/>
        <item x="411"/>
        <item x="171"/>
        <item x="124"/>
        <item x="29"/>
        <item x="156"/>
        <item x="198"/>
        <item x="19"/>
        <item x="307"/>
        <item x="355"/>
        <item x="371"/>
        <item x="294"/>
        <item x="297"/>
        <item x="317"/>
        <item x="106"/>
        <item x="393"/>
        <item x="110"/>
        <item x="397"/>
        <item x="278"/>
        <item x="349"/>
        <item x="481"/>
        <item x="439"/>
        <item x="62"/>
        <item x="475"/>
        <item x="68"/>
        <item x="433"/>
        <item x="194"/>
        <item x="152"/>
        <item x="104"/>
        <item x="391"/>
        <item x="272"/>
        <item x="236"/>
        <item x="435"/>
        <item x="477"/>
        <item x="64"/>
        <item x="25"/>
        <item x="230"/>
        <item x="313"/>
        <item x="123"/>
        <item x="410"/>
        <item x="494"/>
        <item x="452"/>
        <item x="81"/>
        <item x="274"/>
        <item x="351"/>
        <item x="232"/>
        <item x="21"/>
        <item x="103"/>
        <item x="474"/>
        <item x="432"/>
        <item x="390"/>
        <item x="61"/>
        <item x="209"/>
        <item x="187"/>
        <item x="229"/>
        <item x="190"/>
        <item x="167"/>
        <item x="348"/>
        <item x="249"/>
        <item x="148"/>
        <item x="271"/>
        <item x="83"/>
        <item x="145"/>
        <item x="496"/>
        <item x="454"/>
        <item x="368"/>
        <item x="291"/>
        <item x="165"/>
        <item x="309"/>
        <item x="412"/>
        <item x="125"/>
        <item x="207"/>
        <item x="40"/>
        <item x="328"/>
        <item x="18"/>
        <item x="306"/>
        <item x="370"/>
        <item x="293"/>
        <item x="251"/>
        <item x="38"/>
        <item x="326"/>
        <item x="136"/>
        <item x="178"/>
        <item x="149"/>
        <item x="191"/>
        <item x="9"/>
        <item x="22"/>
        <item x="310"/>
        <item x="339"/>
        <item x="352"/>
        <item x="185"/>
        <item x="205"/>
        <item x="262"/>
        <item x="220"/>
        <item x="52"/>
        <item x="275"/>
        <item x="163"/>
        <item x="465"/>
        <item x="143"/>
        <item x="423"/>
        <item x="381"/>
        <item x="94"/>
        <item x="304"/>
        <item x="180"/>
        <item x="233"/>
        <item x="177"/>
        <item x="16"/>
        <item x="135"/>
        <item x="202"/>
        <item x="138"/>
        <item x="36"/>
        <item x="324"/>
        <item x="65"/>
        <item x="160"/>
        <item x="478"/>
        <item x="436"/>
        <item x="394"/>
        <item x="107"/>
        <item x="182"/>
        <item x="321"/>
        <item x="11"/>
        <item x="299"/>
        <item x="33"/>
        <item x="8"/>
        <item x="140"/>
        <item x="264"/>
        <item x="341"/>
        <item x="222"/>
        <item x="338"/>
        <item x="301"/>
        <item x="467"/>
        <item x="425"/>
        <item x="13"/>
        <item x="54"/>
        <item x="137"/>
        <item x="363"/>
        <item x="261"/>
        <item x="179"/>
        <item x="383"/>
        <item x="158"/>
        <item x="10"/>
        <item x="96"/>
        <item x="219"/>
        <item x="200"/>
        <item x="340"/>
        <item x="51"/>
        <item x="464"/>
        <item x="422"/>
        <item x="263"/>
        <item x="466"/>
        <item x="221"/>
        <item x="424"/>
        <item x="53"/>
        <item x="380"/>
        <item x="382"/>
        <item x="93"/>
        <item x="366"/>
        <item x="95"/>
        <item x="289"/>
        <item x="31"/>
        <item x="319"/>
        <item x="86"/>
        <item x="373"/>
        <item x="170"/>
        <item x="247"/>
        <item x="415"/>
        <item x="457"/>
        <item x="492"/>
        <item x="408"/>
        <item x="450"/>
        <item x="79"/>
        <item x="121"/>
        <item x="44"/>
        <item x="181"/>
        <item x="489"/>
        <item x="286"/>
        <item x="447"/>
        <item x="244"/>
        <item x="405"/>
        <item x="118"/>
        <item x="128"/>
        <item x="76"/>
        <item x="139"/>
        <item x="74"/>
        <item x="131"/>
        <item x="173"/>
        <item x="346"/>
        <item x="403"/>
        <item x="116"/>
        <item x="487"/>
        <item x="445"/>
        <item x="343"/>
        <item x="361"/>
        <item x="1"/>
        <item x="4"/>
        <item x="296"/>
        <item x="254"/>
        <item x="215"/>
        <item x="257"/>
        <item x="331"/>
        <item x="334"/>
        <item x="300"/>
        <item x="12"/>
        <item x="47"/>
        <item x="460"/>
        <item x="418"/>
        <item x="376"/>
        <item x="89"/>
        <item x="284"/>
        <item x="269"/>
        <item x="242"/>
        <item x="430"/>
        <item x="472"/>
        <item x="388"/>
        <item x="101"/>
        <item x="227"/>
        <item x="59"/>
        <item x="56"/>
        <item x="469"/>
        <item x="427"/>
        <item x="144"/>
        <item x="266"/>
        <item x="212"/>
        <item x="385"/>
        <item x="186"/>
        <item x="98"/>
        <item x="224"/>
        <item x="17"/>
        <item x="305"/>
        <item x="473"/>
        <item x="431"/>
        <item x="270"/>
        <item x="347"/>
        <item x="389"/>
        <item x="102"/>
        <item x="228"/>
        <item x="60"/>
        <item x="342"/>
        <item x="468"/>
        <item x="426"/>
        <item x="97"/>
        <item x="384"/>
        <item x="55"/>
        <item x="265"/>
        <item x="223"/>
        <item x="42"/>
        <item t="default"/>
      </items>
    </pivotField>
    <pivotField axis="axisCol" showAll="0">
      <items count="13">
        <item x="4"/>
        <item x="3"/>
        <item x="7"/>
        <item x="0"/>
        <item x="8"/>
        <item x="6"/>
        <item x="5"/>
        <item x="1"/>
        <item x="11"/>
        <item x="10"/>
        <item x="9"/>
        <item x="2"/>
        <item t="default"/>
      </items>
    </pivotField>
  </pivotFields>
  <rowFields count="1">
    <field x="1"/>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Fields count="1">
    <field x="8"/>
  </colFields>
  <colItems count="13">
    <i>
      <x/>
    </i>
    <i>
      <x v="1"/>
    </i>
    <i>
      <x v="2"/>
    </i>
    <i>
      <x v="3"/>
    </i>
    <i>
      <x v="4"/>
    </i>
    <i>
      <x v="5"/>
    </i>
    <i>
      <x v="6"/>
    </i>
    <i>
      <x v="7"/>
    </i>
    <i>
      <x v="8"/>
    </i>
    <i>
      <x v="9"/>
    </i>
    <i>
      <x v="10"/>
    </i>
    <i>
      <x v="11"/>
    </i>
    <i t="grand">
      <x/>
    </i>
  </colItems>
  <dataFields count="1">
    <dataField name="Average of South West"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134210-0A34-4723-A883-B1B87DACC5C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2:M19" firstHeaderRow="1" firstDataRow="2" firstDataCol="1"/>
  <pivotFields count="9">
    <pivotField showAll="0"/>
    <pivotField axis="axisRow" showAll="0">
      <items count="44">
        <item x="0"/>
        <item h="1" x="1"/>
        <item x="2"/>
        <item x="3"/>
        <item h="1" x="4"/>
        <item h="1" x="5"/>
        <item h="1" x="6"/>
        <item h="1" x="7"/>
        <item h="1" x="8"/>
        <item h="1" x="9"/>
        <item h="1" x="10"/>
        <item h="1" x="11"/>
        <item h="1" x="12"/>
        <item h="1" x="13"/>
        <item h="1" x="14"/>
        <item h="1" x="15"/>
        <item h="1" x="16"/>
        <item h="1" x="17"/>
        <item h="1" x="18"/>
        <item h="1" x="19"/>
        <item h="1" x="20"/>
        <item h="1" x="21"/>
        <item h="1" x="22"/>
        <item h="1" x="23"/>
        <item x="24"/>
        <item h="1" x="25"/>
        <item h="1" x="26"/>
        <item h="1" x="27"/>
        <item x="28"/>
        <item h="1" x="29"/>
        <item h="1" x="30"/>
        <item h="1" x="31"/>
        <item h="1" x="32"/>
        <item h="1" x="33"/>
        <item h="1" x="34"/>
        <item h="1" x="35"/>
        <item h="1" x="36"/>
        <item x="37"/>
        <item h="1" x="38"/>
        <item h="1" x="39"/>
        <item h="1" x="40"/>
        <item h="1" x="41"/>
        <item h="1" x="42"/>
        <item t="default"/>
      </items>
    </pivotField>
    <pivotField showAll="0"/>
    <pivotField showAll="0"/>
    <pivotField showAll="0"/>
    <pivotField showAll="0"/>
    <pivotField showAll="0"/>
    <pivotField dataField="1" showAll="0"/>
    <pivotField axis="axisCol" showAll="0">
      <items count="13">
        <item x="4"/>
        <item x="3"/>
        <item x="7"/>
        <item x="0"/>
        <item x="8"/>
        <item x="6"/>
        <item x="5"/>
        <item x="1"/>
        <item x="11"/>
        <item x="10"/>
        <item x="9"/>
        <item x="2"/>
        <item t="default"/>
      </items>
    </pivotField>
  </pivotFields>
  <rowFields count="1">
    <field x="1"/>
  </rowFields>
  <rowItems count="6">
    <i>
      <x/>
    </i>
    <i>
      <x v="2"/>
    </i>
    <i>
      <x v="3"/>
    </i>
    <i>
      <x v="24"/>
    </i>
    <i>
      <x v="28"/>
    </i>
    <i>
      <x v="37"/>
    </i>
  </rowItems>
  <colFields count="1">
    <field x="8"/>
  </colFields>
  <colItems count="12">
    <i>
      <x/>
    </i>
    <i>
      <x v="1"/>
    </i>
    <i>
      <x v="2"/>
    </i>
    <i>
      <x v="3"/>
    </i>
    <i>
      <x v="4"/>
    </i>
    <i>
      <x v="5"/>
    </i>
    <i>
      <x v="6"/>
    </i>
    <i>
      <x v="7"/>
    </i>
    <i>
      <x v="8"/>
    </i>
    <i>
      <x v="9"/>
    </i>
    <i>
      <x v="10"/>
    </i>
    <i>
      <x v="11"/>
    </i>
  </colItems>
  <dataFields count="1">
    <dataField name="Average of South West" fld="7" subtotal="average" baseField="0" baseItem="0" numFmtId="164"/>
  </dataFields>
  <formats count="5">
    <format dxfId="10">
      <pivotArea outline="0" collapsedLevelsAreSubtotals="1" fieldPosition="0"/>
    </format>
    <format dxfId="9">
      <pivotArea field="8" type="button" dataOnly="0" labelOnly="1" outline="0" axis="axisCol" fieldPosition="0"/>
    </format>
    <format dxfId="8">
      <pivotArea type="topRight" dataOnly="0" labelOnly="1" outline="0" fieldPosition="0"/>
    </format>
    <format dxfId="7">
      <pivotArea dataOnly="0" labelOnly="1" fieldPosition="0">
        <references count="1">
          <reference field="8" count="0"/>
        </references>
      </pivotArea>
    </format>
    <format dxfId="6">
      <pivotArea dataOnly="0" labelOnly="1" grandCol="1" outline="0" fieldPosition="0"/>
    </format>
  </formats>
  <chartFormats count="12">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5"/>
          </reference>
        </references>
      </pivotArea>
    </chartFormat>
    <chartFormat chart="2" format="6" series="1">
      <pivotArea type="data" outline="0" fieldPosition="0">
        <references count="2">
          <reference field="4294967294" count="1" selected="0">
            <x v="0"/>
          </reference>
          <reference field="8" count="1" selected="0">
            <x v="6"/>
          </reference>
        </references>
      </pivotArea>
    </chartFormat>
    <chartFormat chart="2" format="7" series="1">
      <pivotArea type="data" outline="0" fieldPosition="0">
        <references count="2">
          <reference field="4294967294" count="1" selected="0">
            <x v="0"/>
          </reference>
          <reference field="8" count="1" selected="0">
            <x v="7"/>
          </reference>
        </references>
      </pivotArea>
    </chartFormat>
    <chartFormat chart="2" format="8" series="1">
      <pivotArea type="data" outline="0" fieldPosition="0">
        <references count="2">
          <reference field="4294967294" count="1" selected="0">
            <x v="0"/>
          </reference>
          <reference field="8" count="1" selected="0">
            <x v="8"/>
          </reference>
        </references>
      </pivotArea>
    </chartFormat>
    <chartFormat chart="2" format="9" series="1">
      <pivotArea type="data" outline="0" fieldPosition="0">
        <references count="2">
          <reference field="4294967294" count="1" selected="0">
            <x v="0"/>
          </reference>
          <reference field="8" count="1" selected="0">
            <x v="9"/>
          </reference>
        </references>
      </pivotArea>
    </chartFormat>
    <chartFormat chart="2" format="10" series="1">
      <pivotArea type="data" outline="0" fieldPosition="0">
        <references count="2">
          <reference field="4294967294" count="1" selected="0">
            <x v="0"/>
          </reference>
          <reference field="8" count="1" selected="0">
            <x v="10"/>
          </reference>
        </references>
      </pivotArea>
    </chartFormat>
    <chartFormat chart="2" format="11" series="1">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99F3ED-7EEF-4A0C-8F14-200234CC1B10}" autoFormatId="16" applyNumberFormats="0" applyBorderFormats="0" applyFontFormats="0" applyPatternFormats="0" applyAlignmentFormats="0" applyWidthHeightFormats="0">
  <queryTableRefresh nextId="11">
    <queryTableFields count="9">
      <queryTableField id="1" name="Source.Name" tableColumnId="1"/>
      <queryTableField id="2" name="Item Label" tableColumnId="2"/>
      <queryTableField id="3" name="North Central" tableColumnId="3"/>
      <queryTableField id="4" name="North East" tableColumnId="4"/>
      <queryTableField id="5" name="North West" tableColumnId="5"/>
      <queryTableField id="6" name="South East" tableColumnId="6"/>
      <queryTableField id="7" name="South South" tableColumnId="7"/>
      <queryTableField id="8" name="South West" tableColumnId="8"/>
      <queryTableField id="9" name="Month"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Label" xr10:uid="{CD5BB88E-8D8D-4E0E-A679-BBD6C29B5697}" sourceName="Item Label">
  <pivotTables>
    <pivotTable tabId="3" name="PivotTable1"/>
  </pivotTables>
  <data>
    <tabular pivotCacheId="249770814">
      <items count="4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6B34F00-9CD7-47C7-91FC-45DF85F8CA52}" sourceName="Month">
  <pivotTables>
    <pivotTable tabId="3" name="PivotTable1"/>
  </pivotTables>
  <data>
    <tabular pivotCacheId="249770814">
      <items count="12">
        <i x="4" s="1"/>
        <i x="3" s="1"/>
        <i x="7" s="1"/>
        <i x="0" s="1"/>
        <i x="8" s="1"/>
        <i x="6" s="1"/>
        <i x="5" s="1"/>
        <i x="1" s="1"/>
        <i x="11" s="1"/>
        <i x="10" s="1"/>
        <i x="9"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Label1" xr10:uid="{0DC13E76-C4E1-4FDF-BF0F-4847ACCD7DDE}" sourceName="Item Label">
  <pivotTables>
    <pivotTable tabId="1" name="PivotTable2"/>
  </pivotTables>
  <data>
    <tabular pivotCacheId="249770814">
      <items count="43">
        <i x="0" s="1"/>
        <i x="1"/>
        <i x="2" s="1"/>
        <i x="3" s="1"/>
        <i x="4"/>
        <i x="5"/>
        <i x="6"/>
        <i x="7"/>
        <i x="8"/>
        <i x="9"/>
        <i x="10"/>
        <i x="11"/>
        <i x="12"/>
        <i x="13"/>
        <i x="14"/>
        <i x="15"/>
        <i x="16"/>
        <i x="17"/>
        <i x="18"/>
        <i x="19"/>
        <i x="20"/>
        <i x="21"/>
        <i x="22"/>
        <i x="23"/>
        <i x="24" s="1"/>
        <i x="25"/>
        <i x="26"/>
        <i x="27"/>
        <i x="28" s="1"/>
        <i x="29"/>
        <i x="30"/>
        <i x="31"/>
        <i x="32"/>
        <i x="33"/>
        <i x="34"/>
        <i x="35"/>
        <i x="36"/>
        <i x="37" s="1"/>
        <i x="38"/>
        <i x="39"/>
        <i x="40"/>
        <i x="41"/>
        <i x="4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14CA73F-1202-4CEA-9AAE-70B24810C247}" sourceName="Month">
  <pivotTables>
    <pivotTable tabId="1" name="PivotTable2"/>
  </pivotTables>
  <data>
    <tabular pivotCacheId="249770814">
      <items count="12">
        <i x="4" s="1"/>
        <i x="3" s="1"/>
        <i x="7" s="1"/>
        <i x="0" s="1"/>
        <i x="8" s="1"/>
        <i x="6" s="1"/>
        <i x="5" s="1"/>
        <i x="1" s="1"/>
        <i x="11" s="1"/>
        <i x="10"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Label" xr10:uid="{915D7000-2483-4453-A0B7-8FDEB2251158}" cache="Slicer_Item_Label" caption="Item Label" rowHeight="251883"/>
  <slicer name="Month" xr10:uid="{6BBFCB93-CAEC-43D7-A8A8-122DF621099B}" cache="Slicer_Month" caption="Month"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Label 1" xr10:uid="{15C729EB-9311-479B-A8C6-14956C3C972D}" cache="Slicer_Item_Label1" caption="Item Label" rowHeight="251883"/>
  <slicer name="Month 1" xr10:uid="{2D54608F-69F6-4998-8B7E-AFF34EBCEC97}" cache="Slicer_Month1" caption="Month"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187790-465E-4361-94AC-D9D48CE79132}" name="Raw_Data" displayName="Raw_Data" ref="A1:I523" tableType="queryTable" totalsRowShown="0">
  <autoFilter ref="A1:I523" xr:uid="{0F187790-465E-4361-94AC-D9D48CE79132}"/>
  <tableColumns count="9">
    <tableColumn id="1" xr3:uid="{2457A5F9-DE96-4BEF-82CA-64447CD89D0B}" uniqueName="1" name="Source.Name" queryTableFieldId="1" dataDxfId="12"/>
    <tableColumn id="2" xr3:uid="{E581E551-6130-41EC-8793-B0735CED4138}" uniqueName="2" name="Item Label" queryTableFieldId="2" dataDxfId="11"/>
    <tableColumn id="3" xr3:uid="{5619CC2A-9092-4D26-9843-8EE54A002AC4}" uniqueName="3" name="North Central" queryTableFieldId="3"/>
    <tableColumn id="4" xr3:uid="{8B4B083B-F93C-4560-B050-B6115BE640E1}" uniqueName="4" name="North East" queryTableFieldId="4"/>
    <tableColumn id="5" xr3:uid="{47DB6215-1599-4983-8347-D5F2F0719DD1}" uniqueName="5" name="North West" queryTableFieldId="5"/>
    <tableColumn id="6" xr3:uid="{0B39752C-E86F-4260-8DCA-65286B9CA67C}" uniqueName="6" name="South East" queryTableFieldId="6"/>
    <tableColumn id="7" xr3:uid="{EDFE3EE7-B832-450F-B773-C16316B8545B}" uniqueName="7" name="South South" queryTableFieldId="7"/>
    <tableColumn id="8" xr3:uid="{DE33A0EE-FF84-49E9-A177-D33CD74EADF1}" uniqueName="8" name="South West" queryTableFieldId="8"/>
    <tableColumn id="9" xr3:uid="{3633A3CE-6949-4A9E-8DA1-DC5B14963DFB}" uniqueName="9" name="Month"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5120-4E4F-4FAF-9782-1DE60E93C25E}">
  <sheetPr>
    <tabColor rgb="FF7030A0"/>
  </sheetPr>
  <dimension ref="A1:I523"/>
  <sheetViews>
    <sheetView workbookViewId="0">
      <selection activeCell="L9" sqref="L9"/>
    </sheetView>
  </sheetViews>
  <sheetFormatPr defaultRowHeight="14.5" x14ac:dyDescent="0.35"/>
  <cols>
    <col min="1" max="1" width="18.1796875" bestFit="1" customWidth="1"/>
    <col min="2" max="2" width="36.54296875" bestFit="1" customWidth="1"/>
    <col min="3" max="3" width="14.26953125" bestFit="1" customWidth="1"/>
    <col min="4" max="4" width="11.81640625" bestFit="1" customWidth="1"/>
    <col min="5" max="5" width="12.26953125" bestFit="1" customWidth="1"/>
    <col min="6" max="6" width="11.90625" bestFit="1" customWidth="1"/>
    <col min="7" max="7" width="13.26953125" bestFit="1" customWidth="1"/>
    <col min="8" max="8" width="12.54296875" bestFit="1" customWidth="1"/>
    <col min="9" max="9" width="9.632812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v>253.28571428571428</v>
      </c>
      <c r="D2">
        <v>247.5</v>
      </c>
      <c r="E2">
        <v>242.78968253968256</v>
      </c>
      <c r="F2">
        <v>300.20397264833338</v>
      </c>
      <c r="G2">
        <v>264.52500000000003</v>
      </c>
      <c r="H2">
        <v>258.16666666666669</v>
      </c>
      <c r="I2" t="s">
        <v>11</v>
      </c>
    </row>
    <row r="3" spans="1:9" x14ac:dyDescent="0.35">
      <c r="A3" t="s">
        <v>9</v>
      </c>
      <c r="B3" t="s">
        <v>12</v>
      </c>
      <c r="C3">
        <v>5836</v>
      </c>
      <c r="D3">
        <v>6551.666666666667</v>
      </c>
      <c r="E3">
        <v>5082.5</v>
      </c>
      <c r="F3">
        <v>7155.2697333333344</v>
      </c>
      <c r="G3">
        <v>6306.79</v>
      </c>
      <c r="H3">
        <v>6366.666666666667</v>
      </c>
      <c r="I3" t="s">
        <v>11</v>
      </c>
    </row>
    <row r="4" spans="1:9" x14ac:dyDescent="0.35">
      <c r="A4" t="s">
        <v>9</v>
      </c>
      <c r="B4" t="s">
        <v>13</v>
      </c>
      <c r="C4">
        <v>2602.8571428571427</v>
      </c>
      <c r="D4">
        <v>2451.6650883838383</v>
      </c>
      <c r="E4">
        <v>1682.0723762811563</v>
      </c>
      <c r="F4">
        <v>3230</v>
      </c>
      <c r="G4">
        <v>2502.146666666667</v>
      </c>
      <c r="H4">
        <v>2336.6666666666665</v>
      </c>
      <c r="I4" t="s">
        <v>11</v>
      </c>
    </row>
    <row r="5" spans="1:9" x14ac:dyDescent="0.35">
      <c r="A5" t="s">
        <v>9</v>
      </c>
      <c r="B5" t="s">
        <v>14</v>
      </c>
      <c r="C5">
        <v>2037.4285714285713</v>
      </c>
      <c r="D5">
        <v>2036.3163580246912</v>
      </c>
      <c r="E5">
        <v>1566.3427593313822</v>
      </c>
      <c r="F5">
        <v>2800</v>
      </c>
      <c r="G5">
        <v>2329.3616666666667</v>
      </c>
      <c r="H5">
        <v>2030</v>
      </c>
      <c r="I5" t="s">
        <v>11</v>
      </c>
    </row>
    <row r="6" spans="1:9" x14ac:dyDescent="0.35">
      <c r="A6" t="s">
        <v>9</v>
      </c>
      <c r="B6" t="s">
        <v>15</v>
      </c>
      <c r="C6">
        <v>6336.4428571428571</v>
      </c>
      <c r="D6">
        <v>6295.7909238249604</v>
      </c>
      <c r="E6">
        <v>5776.171114599686</v>
      </c>
      <c r="F6">
        <v>8305.4706102698365</v>
      </c>
      <c r="G6">
        <v>6594.5021367521367</v>
      </c>
      <c r="H6">
        <v>6415.0757576016667</v>
      </c>
      <c r="I6" t="s">
        <v>11</v>
      </c>
    </row>
    <row r="7" spans="1:9" x14ac:dyDescent="0.35">
      <c r="A7" t="s">
        <v>9</v>
      </c>
      <c r="B7" t="s">
        <v>16</v>
      </c>
      <c r="C7">
        <v>1738.7271428571428</v>
      </c>
      <c r="D7">
        <v>1590</v>
      </c>
      <c r="E7">
        <v>1727.2392857619047</v>
      </c>
      <c r="F7">
        <v>1651.7825250297999</v>
      </c>
      <c r="G7">
        <v>1740.0333333333335</v>
      </c>
      <c r="H7">
        <v>1661.6527777777781</v>
      </c>
      <c r="I7" t="s">
        <v>11</v>
      </c>
    </row>
    <row r="8" spans="1:9" x14ac:dyDescent="0.35">
      <c r="A8" t="s">
        <v>9</v>
      </c>
      <c r="B8" t="s">
        <v>17</v>
      </c>
      <c r="C8">
        <v>1646.0128571428572</v>
      </c>
      <c r="D8">
        <v>1283.3333333333333</v>
      </c>
      <c r="E8">
        <v>1713.2661616399714</v>
      </c>
      <c r="F8">
        <v>1522.6848473333334</v>
      </c>
      <c r="G8">
        <v>1700.11</v>
      </c>
      <c r="H8">
        <v>1371.5208333333333</v>
      </c>
      <c r="I8" t="s">
        <v>11</v>
      </c>
    </row>
    <row r="9" spans="1:9" x14ac:dyDescent="0.35">
      <c r="A9" t="s">
        <v>9</v>
      </c>
      <c r="B9" t="s">
        <v>18</v>
      </c>
      <c r="C9">
        <v>1586.5714285714287</v>
      </c>
      <c r="D9">
        <v>1555</v>
      </c>
      <c r="E9">
        <v>1581.6337885350324</v>
      </c>
      <c r="F9">
        <v>2340.814285389265</v>
      </c>
      <c r="G9">
        <v>2478.4070209614952</v>
      </c>
      <c r="H9">
        <v>2229.4684396720836</v>
      </c>
      <c r="I9" t="s">
        <v>11</v>
      </c>
    </row>
    <row r="10" spans="1:9" x14ac:dyDescent="0.35">
      <c r="A10" t="s">
        <v>9</v>
      </c>
      <c r="B10" t="s">
        <v>19</v>
      </c>
      <c r="C10">
        <v>6832.3799999999992</v>
      </c>
      <c r="D10">
        <v>5109.7222222222226</v>
      </c>
      <c r="E10">
        <v>4593.3879826440379</v>
      </c>
      <c r="F10">
        <v>5945.6304506889146</v>
      </c>
      <c r="G10">
        <v>5661.2294444444451</v>
      </c>
      <c r="H10">
        <v>5308.0030839212968</v>
      </c>
      <c r="I10" t="s">
        <v>11</v>
      </c>
    </row>
    <row r="11" spans="1:9" x14ac:dyDescent="0.35">
      <c r="A11" t="s">
        <v>9</v>
      </c>
      <c r="B11" t="s">
        <v>20</v>
      </c>
      <c r="C11">
        <v>3975.9700000000003</v>
      </c>
      <c r="D11">
        <v>2933.3333333333335</v>
      </c>
      <c r="E11">
        <v>2506.2146959700526</v>
      </c>
      <c r="F11">
        <v>3443.1298379030059</v>
      </c>
      <c r="G11">
        <v>3858.47</v>
      </c>
      <c r="H11">
        <v>4376.3380952566667</v>
      </c>
      <c r="I11" t="s">
        <v>11</v>
      </c>
    </row>
    <row r="12" spans="1:9" x14ac:dyDescent="0.35">
      <c r="A12" t="s">
        <v>9</v>
      </c>
      <c r="B12" t="s">
        <v>21</v>
      </c>
      <c r="C12">
        <v>6228.5714285714284</v>
      </c>
      <c r="D12">
        <v>4904.5</v>
      </c>
      <c r="E12">
        <v>4923.0758212375868</v>
      </c>
      <c r="F12">
        <v>7633.3982545837325</v>
      </c>
      <c r="G12">
        <v>5555</v>
      </c>
      <c r="H12">
        <v>5566.666666666667</v>
      </c>
      <c r="I12" t="s">
        <v>11</v>
      </c>
    </row>
    <row r="13" spans="1:9" x14ac:dyDescent="0.35">
      <c r="A13" t="s">
        <v>9</v>
      </c>
      <c r="B13" t="s">
        <v>22</v>
      </c>
      <c r="C13">
        <v>5077.4428571428571</v>
      </c>
      <c r="D13">
        <v>3700.6527777777778</v>
      </c>
      <c r="E13">
        <v>4527.4793701668696</v>
      </c>
      <c r="F13">
        <v>4978.8353026109453</v>
      </c>
      <c r="G13">
        <v>5084.086666666667</v>
      </c>
      <c r="H13">
        <v>5287.3511904375</v>
      </c>
      <c r="I13" t="s">
        <v>11</v>
      </c>
    </row>
    <row r="14" spans="1:9" x14ac:dyDescent="0.35">
      <c r="A14" t="s">
        <v>9</v>
      </c>
      <c r="B14" t="s">
        <v>23</v>
      </c>
      <c r="C14">
        <v>7297.4285714285716</v>
      </c>
      <c r="D14">
        <v>7083.333333333333</v>
      </c>
      <c r="E14">
        <v>6983.0519480519488</v>
      </c>
      <c r="F14">
        <v>7016.6636926984402</v>
      </c>
      <c r="G14">
        <v>4937.0183333333343</v>
      </c>
      <c r="H14">
        <v>6515.1140776666662</v>
      </c>
      <c r="I14" t="s">
        <v>11</v>
      </c>
    </row>
    <row r="15" spans="1:9" x14ac:dyDescent="0.35">
      <c r="A15" t="s">
        <v>9</v>
      </c>
      <c r="B15" t="s">
        <v>24</v>
      </c>
      <c r="C15">
        <v>7726.5914285714289</v>
      </c>
      <c r="D15">
        <v>6391.666666666667</v>
      </c>
      <c r="E15">
        <v>5782.7566481205577</v>
      </c>
      <c r="F15">
        <v>9148.7999999999993</v>
      </c>
      <c r="G15">
        <v>5771.0076984126981</v>
      </c>
      <c r="H15">
        <v>5508.5</v>
      </c>
      <c r="I15" t="s">
        <v>11</v>
      </c>
    </row>
    <row r="16" spans="1:9" x14ac:dyDescent="0.35">
      <c r="A16" t="s">
        <v>9</v>
      </c>
      <c r="B16" t="s">
        <v>25</v>
      </c>
      <c r="C16">
        <v>1386.1428571428571</v>
      </c>
      <c r="D16">
        <v>1345.7561438738333</v>
      </c>
      <c r="E16">
        <v>1503.7414470323674</v>
      </c>
      <c r="F16">
        <v>1410.2248865821286</v>
      </c>
      <c r="G16">
        <v>1275.7337878787882</v>
      </c>
      <c r="H16">
        <v>1126.5610527330589</v>
      </c>
      <c r="I16" t="s">
        <v>11</v>
      </c>
    </row>
    <row r="17" spans="1:9" x14ac:dyDescent="0.35">
      <c r="A17" t="s">
        <v>9</v>
      </c>
      <c r="B17" t="s">
        <v>26</v>
      </c>
      <c r="C17">
        <v>1411.5028571428572</v>
      </c>
      <c r="D17">
        <v>1542.0950610857965</v>
      </c>
      <c r="E17">
        <v>1457.1643479556881</v>
      </c>
      <c r="F17">
        <v>1533.3947125565596</v>
      </c>
      <c r="G17">
        <v>1332.56</v>
      </c>
      <c r="H17">
        <v>1271.8333333333333</v>
      </c>
      <c r="I17" t="s">
        <v>11</v>
      </c>
    </row>
    <row r="18" spans="1:9" x14ac:dyDescent="0.35">
      <c r="A18" t="s">
        <v>9</v>
      </c>
      <c r="B18" t="s">
        <v>27</v>
      </c>
      <c r="C18">
        <v>4600.8571428571431</v>
      </c>
      <c r="D18">
        <v>4338.333333333333</v>
      </c>
      <c r="E18">
        <v>5445.1745773252987</v>
      </c>
      <c r="F18">
        <v>5496.4685139841058</v>
      </c>
      <c r="G18">
        <v>5041.6354273504267</v>
      </c>
      <c r="H18">
        <v>4971.666666666667</v>
      </c>
      <c r="I18" t="s">
        <v>11</v>
      </c>
    </row>
    <row r="19" spans="1:9" x14ac:dyDescent="0.35">
      <c r="A19" t="s">
        <v>9</v>
      </c>
      <c r="B19" t="s">
        <v>28</v>
      </c>
      <c r="C19">
        <v>5751.6185714285721</v>
      </c>
      <c r="D19">
        <v>6220.166666666667</v>
      </c>
      <c r="E19">
        <v>6066.7813852813842</v>
      </c>
      <c r="F19">
        <v>8460.5404257477767</v>
      </c>
      <c r="G19">
        <v>7360.041666666667</v>
      </c>
      <c r="H19">
        <v>6950</v>
      </c>
      <c r="I19" t="s">
        <v>11</v>
      </c>
    </row>
    <row r="20" spans="1:9" x14ac:dyDescent="0.35">
      <c r="A20" t="s">
        <v>9</v>
      </c>
      <c r="B20" t="s">
        <v>29</v>
      </c>
      <c r="C20">
        <v>2940.0914285714284</v>
      </c>
      <c r="D20">
        <v>3253</v>
      </c>
      <c r="E20">
        <v>2911.9921871768202</v>
      </c>
      <c r="F20">
        <v>3092.1165323839982</v>
      </c>
      <c r="G20">
        <v>3669.7733333333331</v>
      </c>
      <c r="H20">
        <v>3716.6666666666665</v>
      </c>
      <c r="I20" t="s">
        <v>11</v>
      </c>
    </row>
    <row r="21" spans="1:9" x14ac:dyDescent="0.35">
      <c r="A21" t="s">
        <v>9</v>
      </c>
      <c r="B21" t="s">
        <v>30</v>
      </c>
      <c r="C21">
        <v>2365.7028571428568</v>
      </c>
      <c r="D21">
        <v>2238.75</v>
      </c>
      <c r="E21">
        <v>2668.9001018309959</v>
      </c>
      <c r="F21">
        <v>2903.71557122284</v>
      </c>
      <c r="G21">
        <v>2733.0349999999999</v>
      </c>
      <c r="H21">
        <v>2433.3333333333335</v>
      </c>
      <c r="I21" t="s">
        <v>11</v>
      </c>
    </row>
    <row r="22" spans="1:9" x14ac:dyDescent="0.35">
      <c r="A22" t="s">
        <v>9</v>
      </c>
      <c r="B22" t="s">
        <v>31</v>
      </c>
      <c r="C22">
        <v>1882.5714285714287</v>
      </c>
      <c r="D22">
        <v>1520.5165343652382</v>
      </c>
      <c r="E22">
        <v>1493.2197510544952</v>
      </c>
      <c r="F22">
        <v>2600.6335787950848</v>
      </c>
      <c r="G22">
        <v>2178.6133333333332</v>
      </c>
      <c r="H22">
        <v>2211.6666666666665</v>
      </c>
      <c r="I22" t="s">
        <v>11</v>
      </c>
    </row>
    <row r="23" spans="1:9" x14ac:dyDescent="0.35">
      <c r="A23" t="s">
        <v>9</v>
      </c>
      <c r="B23" t="s">
        <v>32</v>
      </c>
      <c r="C23">
        <v>2857.1428571428573</v>
      </c>
      <c r="D23">
        <v>1868.7482256249632</v>
      </c>
      <c r="E23">
        <v>1757.0168846059346</v>
      </c>
      <c r="F23">
        <v>2320</v>
      </c>
      <c r="G23">
        <v>3191.6933333333332</v>
      </c>
      <c r="H23">
        <v>3150</v>
      </c>
      <c r="I23" t="s">
        <v>11</v>
      </c>
    </row>
    <row r="24" spans="1:9" x14ac:dyDescent="0.35">
      <c r="A24" t="s">
        <v>9</v>
      </c>
      <c r="B24" t="s">
        <v>33</v>
      </c>
      <c r="C24">
        <v>7597.8771428571426</v>
      </c>
      <c r="D24">
        <v>5783.7383333333337</v>
      </c>
      <c r="E24">
        <v>4308.2679627911766</v>
      </c>
      <c r="F24">
        <v>5249.7898228520307</v>
      </c>
      <c r="G24">
        <v>4953.211666666667</v>
      </c>
      <c r="H24">
        <v>4405</v>
      </c>
      <c r="I24" t="s">
        <v>11</v>
      </c>
    </row>
    <row r="25" spans="1:9" x14ac:dyDescent="0.35">
      <c r="A25" t="s">
        <v>9</v>
      </c>
      <c r="B25" t="s">
        <v>34</v>
      </c>
      <c r="C25">
        <v>1058.2042857142858</v>
      </c>
      <c r="D25">
        <v>1158.8048187401403</v>
      </c>
      <c r="E25">
        <v>1133.8238888053086</v>
      </c>
      <c r="F25">
        <v>1530</v>
      </c>
      <c r="G25">
        <v>1428.0885507246385</v>
      </c>
      <c r="H25">
        <v>1225</v>
      </c>
      <c r="I25" t="s">
        <v>11</v>
      </c>
    </row>
    <row r="26" spans="1:9" x14ac:dyDescent="0.35">
      <c r="A26" t="s">
        <v>9</v>
      </c>
      <c r="B26" t="s">
        <v>35</v>
      </c>
      <c r="C26">
        <v>1294.7142857142858</v>
      </c>
      <c r="D26">
        <v>1112.5421841438704</v>
      </c>
      <c r="E26">
        <v>1278.0287914053047</v>
      </c>
      <c r="F26">
        <v>2022.022310453</v>
      </c>
      <c r="G26">
        <v>2273.7199999999998</v>
      </c>
      <c r="H26">
        <v>1199.1666666666667</v>
      </c>
      <c r="I26" t="s">
        <v>11</v>
      </c>
    </row>
    <row r="27" spans="1:9" x14ac:dyDescent="0.35">
      <c r="A27" t="s">
        <v>9</v>
      </c>
      <c r="B27" t="s">
        <v>36</v>
      </c>
      <c r="C27">
        <v>2340</v>
      </c>
      <c r="D27">
        <v>2160.4166667222221</v>
      </c>
      <c r="E27">
        <v>2643.7609668109667</v>
      </c>
      <c r="F27">
        <v>2689.3736781140005</v>
      </c>
      <c r="G27">
        <v>2468.2533333333336</v>
      </c>
      <c r="H27">
        <v>2833.3333333333335</v>
      </c>
      <c r="I27" t="s">
        <v>11</v>
      </c>
    </row>
    <row r="28" spans="1:9" x14ac:dyDescent="0.35">
      <c r="A28" t="s">
        <v>9</v>
      </c>
      <c r="B28" t="s">
        <v>37</v>
      </c>
      <c r="C28">
        <v>2238.5185714285717</v>
      </c>
      <c r="D28">
        <v>1888.5416666666667</v>
      </c>
      <c r="E28">
        <v>1886.2252900033943</v>
      </c>
      <c r="F28">
        <v>2280.0732283265179</v>
      </c>
      <c r="G28">
        <v>2103.1419590643277</v>
      </c>
      <c r="H28">
        <v>1983.3333333333333</v>
      </c>
      <c r="I28" t="s">
        <v>11</v>
      </c>
    </row>
    <row r="29" spans="1:9" x14ac:dyDescent="0.35">
      <c r="A29" t="s">
        <v>9</v>
      </c>
      <c r="B29" t="s">
        <v>38</v>
      </c>
      <c r="C29">
        <v>2447.3957142857143</v>
      </c>
      <c r="D29">
        <v>2046.3333333333333</v>
      </c>
      <c r="E29">
        <v>1888.8616814996167</v>
      </c>
      <c r="F29">
        <v>2463.2067842321421</v>
      </c>
      <c r="G29">
        <v>2438.1783333333333</v>
      </c>
      <c r="H29">
        <v>2166.6666666666665</v>
      </c>
      <c r="I29" t="s">
        <v>11</v>
      </c>
    </row>
    <row r="30" spans="1:9" x14ac:dyDescent="0.35">
      <c r="A30" t="s">
        <v>9</v>
      </c>
      <c r="B30" t="s">
        <v>39</v>
      </c>
      <c r="C30">
        <v>2135.7142857142858</v>
      </c>
      <c r="D30">
        <v>1970.367327293432</v>
      </c>
      <c r="E30">
        <v>2208.3415507341269</v>
      </c>
      <c r="F30">
        <v>2250</v>
      </c>
      <c r="G30">
        <v>2224.875</v>
      </c>
      <c r="H30">
        <v>2083.3333333333335</v>
      </c>
      <c r="I30" t="s">
        <v>11</v>
      </c>
    </row>
    <row r="31" spans="1:9" x14ac:dyDescent="0.35">
      <c r="A31" t="s">
        <v>9</v>
      </c>
      <c r="B31" t="s">
        <v>40</v>
      </c>
      <c r="C31">
        <v>2671.4285714285716</v>
      </c>
      <c r="D31">
        <v>2263.1284546413094</v>
      </c>
      <c r="E31">
        <v>2661.3483459392414</v>
      </c>
      <c r="F31">
        <v>2704.6</v>
      </c>
      <c r="G31">
        <v>2735.1733333333336</v>
      </c>
      <c r="H31">
        <v>2400</v>
      </c>
      <c r="I31" t="s">
        <v>11</v>
      </c>
    </row>
    <row r="32" spans="1:9" x14ac:dyDescent="0.35">
      <c r="A32" t="s">
        <v>9</v>
      </c>
      <c r="B32" t="s">
        <v>41</v>
      </c>
      <c r="C32">
        <v>2243.5914285714284</v>
      </c>
      <c r="D32">
        <v>2389.4516666666664</v>
      </c>
      <c r="E32">
        <v>2009.135592797619</v>
      </c>
      <c r="F32">
        <v>2449.8925542355291</v>
      </c>
      <c r="G32">
        <v>2480.1783333333333</v>
      </c>
      <c r="H32">
        <v>2046.6666666666667</v>
      </c>
      <c r="I32" t="s">
        <v>11</v>
      </c>
    </row>
    <row r="33" spans="1:9" x14ac:dyDescent="0.35">
      <c r="A33" t="s">
        <v>9</v>
      </c>
      <c r="B33" t="s">
        <v>42</v>
      </c>
      <c r="C33">
        <v>6248.1028571428569</v>
      </c>
      <c r="D33">
        <v>6094.6125000000002</v>
      </c>
      <c r="E33">
        <v>4703.7928617812131</v>
      </c>
      <c r="F33">
        <v>6440.036881709706</v>
      </c>
      <c r="G33">
        <v>6434.9750000000013</v>
      </c>
      <c r="H33">
        <v>5838.333333333333</v>
      </c>
      <c r="I33" t="s">
        <v>11</v>
      </c>
    </row>
    <row r="34" spans="1:9" x14ac:dyDescent="0.35">
      <c r="A34" t="s">
        <v>9</v>
      </c>
      <c r="B34" t="s">
        <v>43</v>
      </c>
      <c r="C34">
        <v>798.48857142857139</v>
      </c>
      <c r="D34">
        <v>880.5169253525969</v>
      </c>
      <c r="E34">
        <v>872.93800722038918</v>
      </c>
      <c r="F34">
        <v>938.28048589145396</v>
      </c>
      <c r="G34">
        <v>1487.0316666666668</v>
      </c>
      <c r="H34">
        <v>687.5</v>
      </c>
      <c r="I34" t="s">
        <v>11</v>
      </c>
    </row>
    <row r="35" spans="1:9" x14ac:dyDescent="0.35">
      <c r="A35" t="s">
        <v>9</v>
      </c>
      <c r="B35" t="s">
        <v>44</v>
      </c>
      <c r="C35">
        <v>6570.47</v>
      </c>
      <c r="D35">
        <v>5304.333333333333</v>
      </c>
      <c r="E35">
        <v>4882.6804511250002</v>
      </c>
      <c r="F35">
        <v>5430.1183510963965</v>
      </c>
      <c r="G35">
        <v>5354.1316666666671</v>
      </c>
      <c r="H35">
        <v>5305</v>
      </c>
      <c r="I35" t="s">
        <v>11</v>
      </c>
    </row>
    <row r="36" spans="1:9" x14ac:dyDescent="0.35">
      <c r="A36" t="s">
        <v>9</v>
      </c>
      <c r="B36" t="s">
        <v>45</v>
      </c>
      <c r="C36">
        <v>1035.45</v>
      </c>
      <c r="D36">
        <v>996.5</v>
      </c>
      <c r="E36">
        <v>910.44217687074831</v>
      </c>
      <c r="F36">
        <v>1110.2198000000001</v>
      </c>
      <c r="G36">
        <v>980.625</v>
      </c>
      <c r="H36">
        <v>958.33333333333337</v>
      </c>
      <c r="I36" t="s">
        <v>11</v>
      </c>
    </row>
    <row r="37" spans="1:9" x14ac:dyDescent="0.35">
      <c r="A37" t="s">
        <v>9</v>
      </c>
      <c r="B37" t="s">
        <v>46</v>
      </c>
      <c r="C37">
        <v>831.71428571428567</v>
      </c>
      <c r="D37">
        <v>963.625</v>
      </c>
      <c r="E37">
        <v>870.10923005565871</v>
      </c>
      <c r="F37">
        <v>910.60581395000008</v>
      </c>
      <c r="G37">
        <v>938.68999999999994</v>
      </c>
      <c r="H37">
        <v>835</v>
      </c>
      <c r="I37" t="s">
        <v>11</v>
      </c>
    </row>
    <row r="38" spans="1:9" x14ac:dyDescent="0.35">
      <c r="A38" t="s">
        <v>9</v>
      </c>
      <c r="B38" t="s">
        <v>47</v>
      </c>
      <c r="C38">
        <v>7016.011428571428</v>
      </c>
      <c r="D38">
        <v>5133.333333333333</v>
      </c>
      <c r="E38">
        <v>6677.7254302994943</v>
      </c>
      <c r="F38">
        <v>5856.3123339138965</v>
      </c>
      <c r="G38">
        <v>5554.3183333333336</v>
      </c>
      <c r="H38">
        <v>5081.666666666667</v>
      </c>
      <c r="I38" t="s">
        <v>11</v>
      </c>
    </row>
    <row r="39" spans="1:9" x14ac:dyDescent="0.35">
      <c r="A39" t="s">
        <v>9</v>
      </c>
      <c r="B39" t="s">
        <v>48</v>
      </c>
      <c r="C39">
        <v>1135.8428571428572</v>
      </c>
      <c r="D39">
        <v>1224.458990815787</v>
      </c>
      <c r="E39">
        <v>1031.2201880524058</v>
      </c>
      <c r="F39">
        <v>1779.0239286967458</v>
      </c>
      <c r="G39">
        <v>1285.1366666666665</v>
      </c>
      <c r="H39">
        <v>1395</v>
      </c>
      <c r="I39" t="s">
        <v>11</v>
      </c>
    </row>
    <row r="40" spans="1:9" x14ac:dyDescent="0.35">
      <c r="A40" t="s">
        <v>9</v>
      </c>
      <c r="B40" t="s">
        <v>49</v>
      </c>
      <c r="C40">
        <v>3144.6628571428569</v>
      </c>
      <c r="D40">
        <v>3133.8878333333337</v>
      </c>
      <c r="E40">
        <v>3049.1849618635329</v>
      </c>
      <c r="F40">
        <v>3571.3714526273552</v>
      </c>
      <c r="G40">
        <v>3658.4716666666668</v>
      </c>
      <c r="H40">
        <v>3816.6666666666665</v>
      </c>
      <c r="I40" t="s">
        <v>11</v>
      </c>
    </row>
    <row r="41" spans="1:9" x14ac:dyDescent="0.35">
      <c r="A41" t="s">
        <v>9</v>
      </c>
      <c r="B41" t="s">
        <v>50</v>
      </c>
      <c r="C41">
        <v>1900.292857142857</v>
      </c>
      <c r="D41">
        <v>1817.7777777777776</v>
      </c>
      <c r="E41">
        <v>1566.6146773861067</v>
      </c>
      <c r="F41">
        <v>2646.6352745960003</v>
      </c>
      <c r="G41">
        <v>2598.4516666666664</v>
      </c>
      <c r="H41">
        <v>2020.5</v>
      </c>
      <c r="I41" t="s">
        <v>11</v>
      </c>
    </row>
    <row r="42" spans="1:9" x14ac:dyDescent="0.35">
      <c r="A42" t="s">
        <v>9</v>
      </c>
      <c r="B42" t="s">
        <v>51</v>
      </c>
      <c r="C42">
        <v>3968.502857142857</v>
      </c>
      <c r="D42">
        <v>4126.2273809375001</v>
      </c>
      <c r="E42">
        <v>3984.5714285714284</v>
      </c>
      <c r="F42">
        <v>5627.0298200115922</v>
      </c>
      <c r="G42">
        <v>3916.4983333333334</v>
      </c>
      <c r="H42">
        <v>3683.3333333333335</v>
      </c>
      <c r="I42" t="s">
        <v>11</v>
      </c>
    </row>
    <row r="43" spans="1:9" x14ac:dyDescent="0.35">
      <c r="A43" t="s">
        <v>9</v>
      </c>
      <c r="B43" t="s">
        <v>52</v>
      </c>
      <c r="C43">
        <v>2006.22</v>
      </c>
      <c r="D43">
        <v>2227.2638888888887</v>
      </c>
      <c r="E43">
        <v>2142.8085820230444</v>
      </c>
      <c r="F43">
        <v>2456.5312715219402</v>
      </c>
      <c r="G43">
        <v>2505.61</v>
      </c>
      <c r="H43">
        <v>2193.3333333333335</v>
      </c>
      <c r="I43" t="s">
        <v>11</v>
      </c>
    </row>
    <row r="44" spans="1:9" x14ac:dyDescent="0.35">
      <c r="A44" t="s">
        <v>9</v>
      </c>
      <c r="I44" t="s">
        <v>11</v>
      </c>
    </row>
    <row r="45" spans="1:9" x14ac:dyDescent="0.35">
      <c r="A45" t="s">
        <v>9</v>
      </c>
      <c r="I45" t="s">
        <v>11</v>
      </c>
    </row>
    <row r="46" spans="1:9" x14ac:dyDescent="0.35">
      <c r="A46" t="s">
        <v>53</v>
      </c>
      <c r="B46" t="s">
        <v>10</v>
      </c>
      <c r="C46">
        <v>255.65914391380184</v>
      </c>
      <c r="D46">
        <v>243.74909722222228</v>
      </c>
      <c r="E46">
        <v>243.70464625850241</v>
      </c>
      <c r="F46">
        <v>280.55</v>
      </c>
      <c r="G46">
        <v>261.78567460317464</v>
      </c>
      <c r="H46">
        <v>248.71244345238097</v>
      </c>
      <c r="I46" t="s">
        <v>54</v>
      </c>
    </row>
    <row r="47" spans="1:9" x14ac:dyDescent="0.35">
      <c r="A47" t="s">
        <v>53</v>
      </c>
      <c r="B47" t="s">
        <v>12</v>
      </c>
      <c r="C47">
        <v>5858.5166470462427</v>
      </c>
      <c r="D47">
        <v>6032.5059722222222</v>
      </c>
      <c r="E47">
        <v>5604.1168144712437</v>
      </c>
      <c r="F47">
        <v>6864.2</v>
      </c>
      <c r="G47">
        <v>6177.0345634920632</v>
      </c>
      <c r="H47">
        <v>5944.3154543650789</v>
      </c>
      <c r="I47" t="s">
        <v>54</v>
      </c>
    </row>
    <row r="48" spans="1:9" x14ac:dyDescent="0.35">
      <c r="A48" t="s">
        <v>53</v>
      </c>
      <c r="B48" t="s">
        <v>13</v>
      </c>
      <c r="C48">
        <v>1655.1869705561228</v>
      </c>
      <c r="D48">
        <v>1747.5874926164961</v>
      </c>
      <c r="E48">
        <v>1425.4797873157772</v>
      </c>
      <c r="F48">
        <v>2241.5682291905996</v>
      </c>
      <c r="G48">
        <v>2044.7487726412403</v>
      </c>
      <c r="H48">
        <v>2140.4615655150883</v>
      </c>
      <c r="I48" t="s">
        <v>54</v>
      </c>
    </row>
    <row r="49" spans="1:9" x14ac:dyDescent="0.35">
      <c r="A49" t="s">
        <v>53</v>
      </c>
      <c r="B49" t="s">
        <v>14</v>
      </c>
      <c r="C49">
        <v>1590.9049053901585</v>
      </c>
      <c r="D49">
        <v>1552.4709271461907</v>
      </c>
      <c r="E49">
        <v>1281.5958262050044</v>
      </c>
      <c r="F49">
        <v>2100.1414637334819</v>
      </c>
      <c r="G49">
        <v>1885.9889938734043</v>
      </c>
      <c r="H49">
        <v>1727.5992362058162</v>
      </c>
      <c r="I49" t="s">
        <v>54</v>
      </c>
    </row>
    <row r="50" spans="1:9" x14ac:dyDescent="0.35">
      <c r="A50" t="s">
        <v>53</v>
      </c>
      <c r="B50" t="s">
        <v>15</v>
      </c>
      <c r="C50">
        <v>6397.5000311785825</v>
      </c>
      <c r="D50">
        <v>7360.2706798245626</v>
      </c>
      <c r="E50">
        <v>5691.2686696013998</v>
      </c>
      <c r="F50">
        <v>8672.459453565516</v>
      </c>
      <c r="G50">
        <v>7091.0368123663366</v>
      </c>
      <c r="H50">
        <v>6521.8401942542514</v>
      </c>
      <c r="I50" t="s">
        <v>54</v>
      </c>
    </row>
    <row r="51" spans="1:9" x14ac:dyDescent="0.35">
      <c r="A51" t="s">
        <v>53</v>
      </c>
      <c r="B51" t="s">
        <v>16</v>
      </c>
      <c r="C51">
        <v>1756.2408032246458</v>
      </c>
      <c r="D51">
        <v>1450</v>
      </c>
      <c r="E51">
        <v>1654.5714285714287</v>
      </c>
      <c r="F51">
        <v>1687.4844014437779</v>
      </c>
      <c r="G51">
        <v>1671.6666666666667</v>
      </c>
      <c r="H51">
        <v>1725</v>
      </c>
      <c r="I51" t="s">
        <v>54</v>
      </c>
    </row>
    <row r="52" spans="1:9" x14ac:dyDescent="0.35">
      <c r="A52" t="s">
        <v>53</v>
      </c>
      <c r="B52" t="s">
        <v>17</v>
      </c>
      <c r="C52">
        <v>1665.2398823066487</v>
      </c>
      <c r="D52">
        <v>1319.3663888888884</v>
      </c>
      <c r="E52">
        <v>1666.3880022727274</v>
      </c>
      <c r="F52">
        <v>1571.2241450771976</v>
      </c>
      <c r="G52">
        <v>1683.6497023809534</v>
      </c>
      <c r="H52">
        <v>1396.9046182539685</v>
      </c>
      <c r="I52" t="s">
        <v>54</v>
      </c>
    </row>
    <row r="53" spans="1:9" x14ac:dyDescent="0.35">
      <c r="A53" t="s">
        <v>53</v>
      </c>
      <c r="B53" t="s">
        <v>18</v>
      </c>
      <c r="C53">
        <v>1604.2462965852244</v>
      </c>
      <c r="D53">
        <v>1517.9427777777776</v>
      </c>
      <c r="E53">
        <v>1537.7454067953956</v>
      </c>
      <c r="F53">
        <v>2475.2927896503056</v>
      </c>
      <c r="G53">
        <v>2378.7018052560502</v>
      </c>
      <c r="H53">
        <v>2124.448190158756</v>
      </c>
      <c r="I53" t="s">
        <v>54</v>
      </c>
    </row>
    <row r="54" spans="1:9" x14ac:dyDescent="0.35">
      <c r="A54" t="s">
        <v>53</v>
      </c>
      <c r="B54" t="s">
        <v>19</v>
      </c>
      <c r="C54">
        <v>6880.1672675558657</v>
      </c>
      <c r="D54">
        <v>5966.2037037037035</v>
      </c>
      <c r="E54">
        <v>4714.6961904761902</v>
      </c>
      <c r="F54">
        <v>6604.853735491949</v>
      </c>
      <c r="G54">
        <v>5925.3955644433163</v>
      </c>
      <c r="H54">
        <v>5665</v>
      </c>
      <c r="I54" t="s">
        <v>54</v>
      </c>
    </row>
    <row r="55" spans="1:9" x14ac:dyDescent="0.35">
      <c r="A55" t="s">
        <v>53</v>
      </c>
      <c r="B55" t="s">
        <v>20</v>
      </c>
      <c r="C55">
        <v>4192.3640740489227</v>
      </c>
      <c r="D55">
        <v>2691.6666666666665</v>
      </c>
      <c r="E55">
        <v>2622.8616246498596</v>
      </c>
      <c r="F55">
        <v>3709.9686534896964</v>
      </c>
      <c r="G55">
        <v>4288.4306713700817</v>
      </c>
      <c r="H55">
        <v>4803.4069270636128</v>
      </c>
      <c r="I55" t="s">
        <v>54</v>
      </c>
    </row>
    <row r="56" spans="1:9" x14ac:dyDescent="0.35">
      <c r="A56" t="s">
        <v>53</v>
      </c>
      <c r="B56" t="s">
        <v>21</v>
      </c>
      <c r="C56">
        <v>6329.0711553619694</v>
      </c>
      <c r="D56">
        <v>4904.5</v>
      </c>
      <c r="E56">
        <v>4897</v>
      </c>
      <c r="F56">
        <v>7950.1653340819394</v>
      </c>
      <c r="G56">
        <v>5751.2947167710299</v>
      </c>
      <c r="H56">
        <v>5725</v>
      </c>
      <c r="I56" t="s">
        <v>54</v>
      </c>
    </row>
    <row r="57" spans="1:9" x14ac:dyDescent="0.35">
      <c r="A57" t="s">
        <v>53</v>
      </c>
      <c r="B57" t="s">
        <v>22</v>
      </c>
      <c r="C57">
        <v>5146.5936975245795</v>
      </c>
      <c r="D57">
        <v>3975</v>
      </c>
      <c r="E57">
        <v>4163.2313960432957</v>
      </c>
      <c r="F57">
        <v>5274.0955879083258</v>
      </c>
      <c r="G57">
        <v>5421.1161079202639</v>
      </c>
      <c r="H57">
        <v>5520.0858038720544</v>
      </c>
      <c r="I57" t="s">
        <v>54</v>
      </c>
    </row>
    <row r="58" spans="1:9" x14ac:dyDescent="0.35">
      <c r="A58" t="s">
        <v>53</v>
      </c>
      <c r="B58" t="s">
        <v>23</v>
      </c>
      <c r="C58">
        <v>8765.3054686690866</v>
      </c>
      <c r="D58">
        <v>9321.875</v>
      </c>
      <c r="E58">
        <v>8910.6246534253642</v>
      </c>
      <c r="F58">
        <v>8536.6250288485608</v>
      </c>
      <c r="G58">
        <v>7302.7098300243306</v>
      </c>
      <c r="H58">
        <v>9947.1094869460776</v>
      </c>
      <c r="I58" t="s">
        <v>54</v>
      </c>
    </row>
    <row r="59" spans="1:9" x14ac:dyDescent="0.35">
      <c r="A59" t="s">
        <v>53</v>
      </c>
      <c r="B59" t="s">
        <v>24</v>
      </c>
      <c r="C59">
        <v>7763.6132128525287</v>
      </c>
      <c r="D59">
        <v>6349.0378968253963</v>
      </c>
      <c r="E59">
        <v>5524.8913948796235</v>
      </c>
      <c r="F59">
        <v>9854.9448767711056</v>
      </c>
      <c r="G59">
        <v>6499.7647466289563</v>
      </c>
      <c r="H59">
        <v>6723.7465550664174</v>
      </c>
      <c r="I59" t="s">
        <v>54</v>
      </c>
    </row>
    <row r="60" spans="1:9" x14ac:dyDescent="0.35">
      <c r="A60" t="s">
        <v>53</v>
      </c>
      <c r="B60" t="s">
        <v>25</v>
      </c>
      <c r="C60">
        <v>703.34519255979842</v>
      </c>
      <c r="D60">
        <v>833.32015810276664</v>
      </c>
      <c r="E60">
        <v>961.05329369384037</v>
      </c>
      <c r="F60">
        <v>1209.3046350737541</v>
      </c>
      <c r="G60">
        <v>1036.9211399550552</v>
      </c>
      <c r="H60">
        <v>930.81943809447785</v>
      </c>
      <c r="I60" t="s">
        <v>54</v>
      </c>
    </row>
    <row r="61" spans="1:9" x14ac:dyDescent="0.35">
      <c r="A61" t="s">
        <v>53</v>
      </c>
      <c r="B61" t="s">
        <v>26</v>
      </c>
      <c r="C61">
        <v>786.62706263573716</v>
      </c>
      <c r="D61">
        <v>916.66666666666663</v>
      </c>
      <c r="E61">
        <v>1014.747176906503</v>
      </c>
      <c r="F61">
        <v>1226.952766178036</v>
      </c>
      <c r="G61">
        <v>1043.5963241811385</v>
      </c>
      <c r="H61">
        <v>1094.4634312068895</v>
      </c>
      <c r="I61" t="s">
        <v>54</v>
      </c>
    </row>
    <row r="62" spans="1:9" x14ac:dyDescent="0.35">
      <c r="A62" t="s">
        <v>53</v>
      </c>
      <c r="B62" t="s">
        <v>27</v>
      </c>
      <c r="C62">
        <v>5331.3850662707355</v>
      </c>
      <c r="D62">
        <v>4814.1025641025635</v>
      </c>
      <c r="E62">
        <v>4561.6030163883715</v>
      </c>
      <c r="F62">
        <v>6020.7086834984757</v>
      </c>
      <c r="G62">
        <v>5896.1400948035307</v>
      </c>
      <c r="H62">
        <v>6722.1076692123343</v>
      </c>
      <c r="I62" t="s">
        <v>54</v>
      </c>
    </row>
    <row r="63" spans="1:9" x14ac:dyDescent="0.35">
      <c r="A63" t="s">
        <v>53</v>
      </c>
      <c r="B63" t="s">
        <v>28</v>
      </c>
      <c r="C63">
        <v>5774.4056350178707</v>
      </c>
      <c r="D63">
        <v>6212.3537868632702</v>
      </c>
      <c r="E63">
        <v>5956.7343635880516</v>
      </c>
      <c r="F63">
        <v>8956.2082015179276</v>
      </c>
      <c r="G63">
        <v>7388.2356214052497</v>
      </c>
      <c r="H63">
        <v>7249.8325069109314</v>
      </c>
      <c r="I63" t="s">
        <v>54</v>
      </c>
    </row>
    <row r="64" spans="1:9" x14ac:dyDescent="0.35">
      <c r="A64" t="s">
        <v>53</v>
      </c>
      <c r="B64" t="s">
        <v>29</v>
      </c>
      <c r="C64">
        <v>2964.6404549615731</v>
      </c>
      <c r="D64">
        <v>2984.2593750000001</v>
      </c>
      <c r="E64">
        <v>3017.7081822510822</v>
      </c>
      <c r="F64">
        <v>3447.7321890386474</v>
      </c>
      <c r="G64">
        <v>3830.9689820833332</v>
      </c>
      <c r="H64">
        <v>3332.967356944444</v>
      </c>
      <c r="I64" t="s">
        <v>54</v>
      </c>
    </row>
    <row r="65" spans="1:9" x14ac:dyDescent="0.35">
      <c r="A65" t="s">
        <v>53</v>
      </c>
      <c r="B65" t="s">
        <v>30</v>
      </c>
      <c r="C65">
        <v>2388.2105938438899</v>
      </c>
      <c r="D65">
        <v>2556.6061111111107</v>
      </c>
      <c r="E65">
        <v>2625.1989285714276</v>
      </c>
      <c r="F65">
        <v>3155.5952516018915</v>
      </c>
      <c r="G65">
        <v>2575.234115079365</v>
      </c>
      <c r="H65">
        <v>2686.448095238095</v>
      </c>
      <c r="I65" t="s">
        <v>54</v>
      </c>
    </row>
    <row r="66" spans="1:9" x14ac:dyDescent="0.35">
      <c r="A66" t="s">
        <v>53</v>
      </c>
      <c r="B66" t="s">
        <v>31</v>
      </c>
      <c r="C66">
        <v>1390.7180988743771</v>
      </c>
      <c r="D66">
        <v>1250.6891066901799</v>
      </c>
      <c r="E66">
        <v>1236.1008558766212</v>
      </c>
      <c r="F66">
        <v>2420.9565129927751</v>
      </c>
      <c r="G66">
        <v>2173.3490047017863</v>
      </c>
      <c r="H66">
        <v>1798.1598503269481</v>
      </c>
      <c r="I66" t="s">
        <v>54</v>
      </c>
    </row>
    <row r="67" spans="1:9" x14ac:dyDescent="0.35">
      <c r="A67" t="s">
        <v>53</v>
      </c>
      <c r="B67" t="s">
        <v>32</v>
      </c>
      <c r="C67">
        <v>2308.1880309227245</v>
      </c>
      <c r="D67">
        <v>1672.0751639681496</v>
      </c>
      <c r="E67">
        <v>1823.0501694148359</v>
      </c>
      <c r="F67">
        <v>2100.9882363976949</v>
      </c>
      <c r="G67">
        <v>3272.352039584161</v>
      </c>
      <c r="H67">
        <v>2802.9973928680752</v>
      </c>
      <c r="I67" t="s">
        <v>54</v>
      </c>
    </row>
    <row r="68" spans="1:9" x14ac:dyDescent="0.35">
      <c r="A68" t="s">
        <v>53</v>
      </c>
      <c r="B68" t="s">
        <v>33</v>
      </c>
      <c r="C68">
        <v>7637.668452299552</v>
      </c>
      <c r="D68">
        <v>5687.8354166666659</v>
      </c>
      <c r="E68">
        <v>4557.5014448051943</v>
      </c>
      <c r="F68">
        <v>5888.2352471929626</v>
      </c>
      <c r="G68">
        <v>5376.6250112551061</v>
      </c>
      <c r="H68">
        <v>5108.2881248990416</v>
      </c>
      <c r="I68" t="s">
        <v>54</v>
      </c>
    </row>
    <row r="69" spans="1:9" x14ac:dyDescent="0.35">
      <c r="A69" t="s">
        <v>53</v>
      </c>
      <c r="B69" t="s">
        <v>34</v>
      </c>
      <c r="C69">
        <v>756.50737636246743</v>
      </c>
      <c r="D69">
        <v>665.2444611420168</v>
      </c>
      <c r="E69">
        <v>930.98056254334529</v>
      </c>
      <c r="F69">
        <v>1352.0526934966379</v>
      </c>
      <c r="G69">
        <v>1215.7970470632863</v>
      </c>
      <c r="H69">
        <v>888.25483878638863</v>
      </c>
      <c r="I69" t="s">
        <v>54</v>
      </c>
    </row>
    <row r="70" spans="1:9" x14ac:dyDescent="0.35">
      <c r="A70" t="s">
        <v>53</v>
      </c>
      <c r="B70" t="s">
        <v>35</v>
      </c>
      <c r="C70">
        <v>1079.29724941364</v>
      </c>
      <c r="D70">
        <v>1124.6333053016376</v>
      </c>
      <c r="E70">
        <v>1050.5285481858227</v>
      </c>
      <c r="F70">
        <v>1987.0282667050219</v>
      </c>
      <c r="G70">
        <v>1713.0466669742218</v>
      </c>
      <c r="H70">
        <v>1259.361013218225</v>
      </c>
      <c r="I70" t="s">
        <v>54</v>
      </c>
    </row>
    <row r="71" spans="1:9" x14ac:dyDescent="0.35">
      <c r="A71" t="s">
        <v>53</v>
      </c>
      <c r="B71" t="s">
        <v>36</v>
      </c>
      <c r="C71">
        <v>2360.8278796758705</v>
      </c>
      <c r="D71">
        <v>2363.5390972222212</v>
      </c>
      <c r="E71">
        <v>2534.9107149427946</v>
      </c>
      <c r="F71">
        <v>2746.906716172778</v>
      </c>
      <c r="G71">
        <v>2427.5588293650799</v>
      </c>
      <c r="H71">
        <v>2699.5287787698417</v>
      </c>
      <c r="I71" t="s">
        <v>54</v>
      </c>
    </row>
    <row r="72" spans="1:9" x14ac:dyDescent="0.35">
      <c r="A72" t="s">
        <v>53</v>
      </c>
      <c r="B72" t="s">
        <v>37</v>
      </c>
      <c r="C72">
        <v>2260.5769241197386</v>
      </c>
      <c r="D72">
        <v>1951.9628880502416</v>
      </c>
      <c r="E72">
        <v>1942.8995861748658</v>
      </c>
      <c r="F72">
        <v>2307.6017621396823</v>
      </c>
      <c r="G72">
        <v>2207.1820818573087</v>
      </c>
      <c r="H72">
        <v>2255.0726452876593</v>
      </c>
      <c r="I72" t="s">
        <v>54</v>
      </c>
    </row>
    <row r="73" spans="1:9" x14ac:dyDescent="0.35">
      <c r="A73" t="s">
        <v>53</v>
      </c>
      <c r="B73" t="s">
        <v>38</v>
      </c>
      <c r="C73">
        <v>2467.8949655795554</v>
      </c>
      <c r="D73">
        <v>1992.0237537985001</v>
      </c>
      <c r="E73">
        <v>2013.6704487171444</v>
      </c>
      <c r="F73">
        <v>2401.1435318285539</v>
      </c>
      <c r="G73">
        <v>2163.2992422115162</v>
      </c>
      <c r="H73">
        <v>2215.4873449575407</v>
      </c>
      <c r="I73" t="s">
        <v>54</v>
      </c>
    </row>
    <row r="74" spans="1:9" x14ac:dyDescent="0.35">
      <c r="A74" t="s">
        <v>53</v>
      </c>
      <c r="B74" t="s">
        <v>39</v>
      </c>
      <c r="C74">
        <v>2033.0016584200441</v>
      </c>
      <c r="D74">
        <v>1905.33232175181</v>
      </c>
      <c r="E74">
        <v>1961.2166908398797</v>
      </c>
      <c r="F74">
        <v>2061.0187180081798</v>
      </c>
      <c r="G74">
        <v>1850.6389941296063</v>
      </c>
      <c r="H74">
        <v>1977.1386220459001</v>
      </c>
      <c r="I74" t="s">
        <v>54</v>
      </c>
    </row>
    <row r="75" spans="1:9" x14ac:dyDescent="0.35">
      <c r="A75" t="s">
        <v>53</v>
      </c>
      <c r="B75" t="s">
        <v>40</v>
      </c>
      <c r="C75">
        <v>2557.1910419238743</v>
      </c>
      <c r="D75">
        <v>2223.0815441563359</v>
      </c>
      <c r="E75">
        <v>2252.6830606344779</v>
      </c>
      <c r="F75">
        <v>2454.2426018747815</v>
      </c>
      <c r="G75">
        <v>2409.030215797789</v>
      </c>
      <c r="H75">
        <v>2257.6446241890335</v>
      </c>
      <c r="I75" t="s">
        <v>54</v>
      </c>
    </row>
    <row r="76" spans="1:9" x14ac:dyDescent="0.35">
      <c r="A76" t="s">
        <v>53</v>
      </c>
      <c r="B76" t="s">
        <v>41</v>
      </c>
      <c r="C76">
        <v>2255.8570665559341</v>
      </c>
      <c r="D76">
        <v>2391.6666666666665</v>
      </c>
      <c r="E76">
        <v>1932.4011902494344</v>
      </c>
      <c r="F76">
        <v>2548.7079055216409</v>
      </c>
      <c r="G76">
        <v>2672.9441111111114</v>
      </c>
      <c r="H76">
        <v>2261.7880722222217</v>
      </c>
      <c r="I76" t="s">
        <v>54</v>
      </c>
    </row>
    <row r="77" spans="1:9" x14ac:dyDescent="0.35">
      <c r="A77" t="s">
        <v>53</v>
      </c>
      <c r="B77" t="s">
        <v>42</v>
      </c>
      <c r="C77">
        <v>6298.6951897672852</v>
      </c>
      <c r="D77">
        <v>6219.4808001870961</v>
      </c>
      <c r="E77">
        <v>4771.8488361409472</v>
      </c>
      <c r="F77">
        <v>7176.6061520798585</v>
      </c>
      <c r="G77">
        <v>6996.8224355474022</v>
      </c>
      <c r="H77">
        <v>6235.7353894844682</v>
      </c>
      <c r="I77" t="s">
        <v>54</v>
      </c>
    </row>
    <row r="78" spans="1:9" x14ac:dyDescent="0.35">
      <c r="A78" t="s">
        <v>53</v>
      </c>
      <c r="B78" t="s">
        <v>43</v>
      </c>
      <c r="C78">
        <v>718.31732135242908</v>
      </c>
      <c r="D78">
        <v>682.44530261020918</v>
      </c>
      <c r="E78">
        <v>661.4607354766041</v>
      </c>
      <c r="F78">
        <v>947.10867707502916</v>
      </c>
      <c r="G78">
        <v>1431.1046809798684</v>
      </c>
      <c r="H78">
        <v>900.76533148253463</v>
      </c>
      <c r="I78" t="s">
        <v>54</v>
      </c>
    </row>
    <row r="79" spans="1:9" x14ac:dyDescent="0.35">
      <c r="A79" t="s">
        <v>53</v>
      </c>
      <c r="B79" t="s">
        <v>44</v>
      </c>
      <c r="C79">
        <v>6614.1397611703551</v>
      </c>
      <c r="D79">
        <v>5164.166666666667</v>
      </c>
      <c r="E79">
        <v>4777.8571428571368</v>
      </c>
      <c r="F79">
        <v>5963.7150974382039</v>
      </c>
      <c r="G79">
        <v>5860.9100590163289</v>
      </c>
      <c r="H79">
        <v>6056.1502400426734</v>
      </c>
      <c r="I79" t="s">
        <v>54</v>
      </c>
    </row>
    <row r="80" spans="1:9" x14ac:dyDescent="0.35">
      <c r="A80" t="s">
        <v>53</v>
      </c>
      <c r="B80" t="s">
        <v>45</v>
      </c>
      <c r="C80">
        <v>1046.4558444443037</v>
      </c>
      <c r="D80">
        <v>913.0625</v>
      </c>
      <c r="E80">
        <v>927.60031222943758</v>
      </c>
      <c r="F80">
        <v>1173.67075229545</v>
      </c>
      <c r="G80">
        <v>1107.4883333333328</v>
      </c>
      <c r="H80">
        <v>1058.8392624999999</v>
      </c>
      <c r="I80" t="s">
        <v>54</v>
      </c>
    </row>
    <row r="81" spans="1:9" x14ac:dyDescent="0.35">
      <c r="A81" t="s">
        <v>53</v>
      </c>
      <c r="B81" t="s">
        <v>46</v>
      </c>
      <c r="C81">
        <v>850.06720586198753</v>
      </c>
      <c r="D81">
        <v>871.43819444444443</v>
      </c>
      <c r="E81">
        <v>890.46924591836728</v>
      </c>
      <c r="F81">
        <v>960.12433104994693</v>
      </c>
      <c r="G81">
        <v>1002.1637579365084</v>
      </c>
      <c r="H81">
        <v>909.05746666666664</v>
      </c>
      <c r="I81" t="s">
        <v>54</v>
      </c>
    </row>
    <row r="82" spans="1:9" x14ac:dyDescent="0.35">
      <c r="A82" t="s">
        <v>53</v>
      </c>
      <c r="B82" t="s">
        <v>47</v>
      </c>
      <c r="C82">
        <v>7055.559546048632</v>
      </c>
      <c r="D82">
        <v>5567.8319444444451</v>
      </c>
      <c r="E82">
        <v>6622.8081068027222</v>
      </c>
      <c r="F82">
        <v>6559.0790802982056</v>
      </c>
      <c r="G82">
        <v>5996.2432312155834</v>
      </c>
      <c r="H82">
        <v>5925.6231485807957</v>
      </c>
      <c r="I82" t="s">
        <v>54</v>
      </c>
    </row>
    <row r="83" spans="1:9" x14ac:dyDescent="0.35">
      <c r="A83" t="s">
        <v>53</v>
      </c>
      <c r="B83" t="s">
        <v>48</v>
      </c>
      <c r="C83">
        <v>1038.3860971962292</v>
      </c>
      <c r="D83">
        <v>1087.552945941512</v>
      </c>
      <c r="E83">
        <v>933.6352714649729</v>
      </c>
      <c r="F83">
        <v>1994.2073634571702</v>
      </c>
      <c r="G83">
        <v>1522.1472180451949</v>
      </c>
      <c r="H83">
        <v>1355.6876077866029</v>
      </c>
      <c r="I83" t="s">
        <v>54</v>
      </c>
    </row>
    <row r="84" spans="1:9" x14ac:dyDescent="0.35">
      <c r="A84" t="s">
        <v>53</v>
      </c>
      <c r="B84" t="s">
        <v>49</v>
      </c>
      <c r="C84">
        <v>3168.1043294512601</v>
      </c>
      <c r="D84">
        <v>2805.1013888888897</v>
      </c>
      <c r="E84">
        <v>3012.897341269841</v>
      </c>
      <c r="F84">
        <v>3796</v>
      </c>
      <c r="G84">
        <v>3740.2241944444449</v>
      </c>
      <c r="H84">
        <v>3051.7314201388895</v>
      </c>
      <c r="I84" t="s">
        <v>54</v>
      </c>
    </row>
    <row r="85" spans="1:9" x14ac:dyDescent="0.35">
      <c r="A85" t="s">
        <v>53</v>
      </c>
      <c r="B85" t="s">
        <v>50</v>
      </c>
      <c r="C85">
        <v>1913.9034398668357</v>
      </c>
      <c r="D85">
        <v>1579.8</v>
      </c>
      <c r="E85">
        <v>1614.9311411564627</v>
      </c>
      <c r="F85">
        <v>2776.2148671879158</v>
      </c>
      <c r="G85">
        <v>2379.987174603174</v>
      </c>
      <c r="H85">
        <v>2307.1801777777778</v>
      </c>
      <c r="I85" t="s">
        <v>54</v>
      </c>
    </row>
    <row r="86" spans="1:9" x14ac:dyDescent="0.35">
      <c r="A86" t="s">
        <v>53</v>
      </c>
      <c r="B86" t="s">
        <v>51</v>
      </c>
      <c r="C86">
        <v>3994.2132316925527</v>
      </c>
      <c r="D86">
        <v>3675.9861111111118</v>
      </c>
      <c r="E86">
        <v>3573.5783321428571</v>
      </c>
      <c r="F86">
        <v>5085.6779786824254</v>
      </c>
      <c r="G86">
        <v>3839.5272777777768</v>
      </c>
      <c r="H86">
        <v>3495.259526587301</v>
      </c>
      <c r="I86" t="s">
        <v>54</v>
      </c>
    </row>
    <row r="87" spans="1:9" x14ac:dyDescent="0.35">
      <c r="A87" t="s">
        <v>53</v>
      </c>
      <c r="B87" t="s">
        <v>52</v>
      </c>
      <c r="C87">
        <v>1689.3036725798127</v>
      </c>
      <c r="D87">
        <v>1898.8592617548891</v>
      </c>
      <c r="E87">
        <v>2035.4548056374874</v>
      </c>
      <c r="F87">
        <v>2665.4106961633966</v>
      </c>
      <c r="G87">
        <v>2469.0589397015351</v>
      </c>
      <c r="H87">
        <v>1929.9311378323393</v>
      </c>
      <c r="I87" t="s">
        <v>54</v>
      </c>
    </row>
    <row r="88" spans="1:9" x14ac:dyDescent="0.35">
      <c r="A88" t="s">
        <v>53</v>
      </c>
      <c r="I88" t="s">
        <v>54</v>
      </c>
    </row>
    <row r="89" spans="1:9" x14ac:dyDescent="0.35">
      <c r="A89" t="s">
        <v>53</v>
      </c>
      <c r="I89" t="s">
        <v>54</v>
      </c>
    </row>
    <row r="90" spans="1:9" x14ac:dyDescent="0.35">
      <c r="A90" t="s">
        <v>55</v>
      </c>
      <c r="B90" t="s">
        <v>10</v>
      </c>
      <c r="C90">
        <v>241.86444322216923</v>
      </c>
      <c r="D90">
        <v>244.54049773758501</v>
      </c>
      <c r="E90">
        <v>238.10980095356874</v>
      </c>
      <c r="F90">
        <v>241.81906475335478</v>
      </c>
      <c r="G90">
        <v>238.13604056906351</v>
      </c>
      <c r="H90">
        <v>241.73817897308334</v>
      </c>
      <c r="I90" t="s">
        <v>56</v>
      </c>
    </row>
    <row r="91" spans="1:9" x14ac:dyDescent="0.35">
      <c r="A91" t="s">
        <v>55</v>
      </c>
      <c r="B91" t="s">
        <v>12</v>
      </c>
      <c r="C91">
        <v>5810.7412032182083</v>
      </c>
      <c r="D91">
        <v>6268.574209729456</v>
      </c>
      <c r="E91">
        <v>5649.7932190365918</v>
      </c>
      <c r="F91">
        <v>6258.65763374777</v>
      </c>
      <c r="G91">
        <v>5833.9507148060438</v>
      </c>
      <c r="H91">
        <v>5861.7921829571351</v>
      </c>
      <c r="I91" t="s">
        <v>56</v>
      </c>
    </row>
    <row r="92" spans="1:9" x14ac:dyDescent="0.35">
      <c r="A92" t="s">
        <v>55</v>
      </c>
      <c r="B92" t="s">
        <v>13</v>
      </c>
      <c r="C92">
        <v>1186.2760785330486</v>
      </c>
      <c r="D92">
        <v>792.95566818492568</v>
      </c>
      <c r="E92">
        <v>771.72541900144859</v>
      </c>
      <c r="F92">
        <v>1475.4842000000001</v>
      </c>
      <c r="G92">
        <v>1704.6565691445248</v>
      </c>
      <c r="H92">
        <v>1697.503033545695</v>
      </c>
      <c r="I92" t="s">
        <v>56</v>
      </c>
    </row>
    <row r="93" spans="1:9" x14ac:dyDescent="0.35">
      <c r="A93" t="s">
        <v>55</v>
      </c>
      <c r="B93" t="s">
        <v>14</v>
      </c>
      <c r="C93">
        <v>1195.8482112063855</v>
      </c>
      <c r="D93">
        <v>759.81814494594789</v>
      </c>
      <c r="E93">
        <v>731.01673758015136</v>
      </c>
      <c r="F93">
        <v>1462.8006603771919</v>
      </c>
      <c r="G93">
        <v>1668.9180419757033</v>
      </c>
      <c r="H93">
        <v>1509.66659440691</v>
      </c>
      <c r="I93" t="s">
        <v>56</v>
      </c>
    </row>
    <row r="94" spans="1:9" x14ac:dyDescent="0.35">
      <c r="A94" t="s">
        <v>55</v>
      </c>
      <c r="B94" t="s">
        <v>15</v>
      </c>
      <c r="C94">
        <v>6378.7433419224326</v>
      </c>
      <c r="D94">
        <v>7437.8769202214689</v>
      </c>
      <c r="E94">
        <v>5925.2625406993293</v>
      </c>
      <c r="F94">
        <v>8309.4689976661575</v>
      </c>
      <c r="G94">
        <v>7200.4553547531614</v>
      </c>
      <c r="H94">
        <v>6540.4686498727933</v>
      </c>
      <c r="I94" t="s">
        <v>56</v>
      </c>
    </row>
    <row r="95" spans="1:9" x14ac:dyDescent="0.35">
      <c r="A95" t="s">
        <v>55</v>
      </c>
      <c r="B95" t="s">
        <v>16</v>
      </c>
      <c r="C95">
        <v>1725.9965767835679</v>
      </c>
      <c r="D95">
        <v>1476.2779924202484</v>
      </c>
      <c r="E95">
        <v>1723.4460715000005</v>
      </c>
      <c r="F95">
        <v>1615.20482575397</v>
      </c>
      <c r="G95">
        <v>1693.3333333333333</v>
      </c>
      <c r="H95">
        <v>1743.7604723333334</v>
      </c>
      <c r="I95" t="s">
        <v>56</v>
      </c>
    </row>
    <row r="96" spans="1:9" x14ac:dyDescent="0.35">
      <c r="A96" t="s">
        <v>55</v>
      </c>
      <c r="B96" t="s">
        <v>17</v>
      </c>
      <c r="C96">
        <v>1631.4817554822512</v>
      </c>
      <c r="D96">
        <v>1477.8337442969205</v>
      </c>
      <c r="E96">
        <v>1680.5160822193041</v>
      </c>
      <c r="F96">
        <v>1600.3420936169562</v>
      </c>
      <c r="G96">
        <v>1667.1515661685701</v>
      </c>
      <c r="H96">
        <v>1408.6666666666667</v>
      </c>
      <c r="I96" t="s">
        <v>56</v>
      </c>
    </row>
    <row r="97" spans="1:9" x14ac:dyDescent="0.35">
      <c r="A97" t="s">
        <v>55</v>
      </c>
      <c r="B97" t="s">
        <v>18</v>
      </c>
      <c r="C97">
        <v>1650.6174941118054</v>
      </c>
      <c r="D97">
        <v>1409.07955305569</v>
      </c>
      <c r="E97">
        <v>1613.2444134535071</v>
      </c>
      <c r="F97">
        <v>2321.638728882418</v>
      </c>
      <c r="G97">
        <v>2474.2666630928447</v>
      </c>
      <c r="H97">
        <v>2216.1666666666665</v>
      </c>
      <c r="I97" t="s">
        <v>56</v>
      </c>
    </row>
    <row r="98" spans="1:9" x14ac:dyDescent="0.35">
      <c r="A98" t="s">
        <v>55</v>
      </c>
      <c r="B98" t="s">
        <v>19</v>
      </c>
      <c r="C98">
        <v>6766.4211696629418</v>
      </c>
      <c r="D98">
        <v>6555.9297098912421</v>
      </c>
      <c r="E98">
        <v>4797.3780211849598</v>
      </c>
      <c r="F98">
        <v>6856.5763078811051</v>
      </c>
      <c r="G98">
        <v>5908.4399017516434</v>
      </c>
      <c r="H98">
        <v>5752.5</v>
      </c>
      <c r="I98" t="s">
        <v>56</v>
      </c>
    </row>
    <row r="99" spans="1:9" x14ac:dyDescent="0.35">
      <c r="A99" t="s">
        <v>55</v>
      </c>
      <c r="B99" t="s">
        <v>20</v>
      </c>
      <c r="C99">
        <v>4399.5871517414953</v>
      </c>
      <c r="D99">
        <v>3726.6069102728666</v>
      </c>
      <c r="E99">
        <v>2655.3293670010985</v>
      </c>
      <c r="F99">
        <v>3861.8475807159657</v>
      </c>
      <c r="G99">
        <v>4304.3885509048041</v>
      </c>
      <c r="H99">
        <v>4920.833333333333</v>
      </c>
      <c r="I99" t="s">
        <v>56</v>
      </c>
    </row>
    <row r="100" spans="1:9" x14ac:dyDescent="0.35">
      <c r="A100" t="s">
        <v>55</v>
      </c>
      <c r="B100" t="s">
        <v>21</v>
      </c>
      <c r="C100">
        <v>6307.5338599517263</v>
      </c>
      <c r="D100">
        <v>5017.4679999999998</v>
      </c>
      <c r="E100">
        <v>4914.034285714285</v>
      </c>
      <c r="F100">
        <v>8081.2595579654899</v>
      </c>
      <c r="G100">
        <v>5805.6702114423288</v>
      </c>
      <c r="H100">
        <v>5795.833333333333</v>
      </c>
      <c r="I100" t="s">
        <v>56</v>
      </c>
    </row>
    <row r="101" spans="1:9" x14ac:dyDescent="0.35">
      <c r="A101" t="s">
        <v>55</v>
      </c>
      <c r="B101" t="s">
        <v>22</v>
      </c>
      <c r="C101">
        <v>5268.6792465796725</v>
      </c>
      <c r="D101">
        <v>4132.0363885750676</v>
      </c>
      <c r="E101">
        <v>4201.1340404213315</v>
      </c>
      <c r="F101">
        <v>5495.7766321699</v>
      </c>
      <c r="G101">
        <v>5444.3260634964054</v>
      </c>
      <c r="H101">
        <v>5585.5337271402932</v>
      </c>
      <c r="I101" t="s">
        <v>56</v>
      </c>
    </row>
    <row r="102" spans="1:9" x14ac:dyDescent="0.35">
      <c r="A102" t="s">
        <v>55</v>
      </c>
      <c r="B102" t="s">
        <v>23</v>
      </c>
      <c r="C102">
        <v>8768.3387835182202</v>
      </c>
      <c r="D102">
        <v>8587.1113859115194</v>
      </c>
      <c r="E102">
        <v>8633.5765381697147</v>
      </c>
      <c r="F102">
        <v>8671.8724676784404</v>
      </c>
      <c r="G102">
        <v>7095.4518111006837</v>
      </c>
      <c r="H102">
        <v>9735.8588784559342</v>
      </c>
      <c r="I102" t="s">
        <v>56</v>
      </c>
    </row>
    <row r="103" spans="1:9" x14ac:dyDescent="0.35">
      <c r="A103" t="s">
        <v>55</v>
      </c>
      <c r="B103" t="s">
        <v>24</v>
      </c>
      <c r="C103">
        <v>7798.5757632495015</v>
      </c>
      <c r="D103">
        <v>7626.5079310676883</v>
      </c>
      <c r="E103">
        <v>5689.7783632865276</v>
      </c>
      <c r="F103">
        <v>9366.3234423775812</v>
      </c>
      <c r="G103">
        <v>6670.8537020852773</v>
      </c>
      <c r="H103">
        <v>6831.735970696358</v>
      </c>
      <c r="I103" t="s">
        <v>56</v>
      </c>
    </row>
    <row r="104" spans="1:9" x14ac:dyDescent="0.35">
      <c r="A104" t="s">
        <v>55</v>
      </c>
      <c r="B104" t="s">
        <v>25</v>
      </c>
      <c r="C104">
        <v>656.68645441398769</v>
      </c>
      <c r="D104">
        <v>707.67838302323787</v>
      </c>
      <c r="E104">
        <v>694.09054061316294</v>
      </c>
      <c r="F104">
        <v>913.51424034345587</v>
      </c>
      <c r="G104">
        <v>934.34800068874495</v>
      </c>
      <c r="H104">
        <v>808.33333333333337</v>
      </c>
      <c r="I104" t="s">
        <v>56</v>
      </c>
    </row>
    <row r="105" spans="1:9" x14ac:dyDescent="0.35">
      <c r="A105" t="s">
        <v>55</v>
      </c>
      <c r="B105" t="s">
        <v>26</v>
      </c>
      <c r="C105">
        <v>798.24969173090665</v>
      </c>
      <c r="D105">
        <v>731.9533663787206</v>
      </c>
      <c r="E105">
        <v>704.86905463823712</v>
      </c>
      <c r="F105">
        <v>940.69591617024196</v>
      </c>
      <c r="G105">
        <v>891.9726936835583</v>
      </c>
      <c r="H105">
        <v>989.16666666666663</v>
      </c>
      <c r="I105" t="s">
        <v>56</v>
      </c>
    </row>
    <row r="106" spans="1:9" x14ac:dyDescent="0.35">
      <c r="A106" t="s">
        <v>55</v>
      </c>
      <c r="B106" t="s">
        <v>27</v>
      </c>
      <c r="C106">
        <v>5314.8292308369946</v>
      </c>
      <c r="D106">
        <v>3788.7484458396516</v>
      </c>
      <c r="E106">
        <v>4605.7061411805134</v>
      </c>
      <c r="F106">
        <v>6047.3233444941834</v>
      </c>
      <c r="G106">
        <v>6000.4091204809483</v>
      </c>
      <c r="H106">
        <v>6662.1816093511161</v>
      </c>
      <c r="I106" t="s">
        <v>56</v>
      </c>
    </row>
    <row r="107" spans="1:9" x14ac:dyDescent="0.35">
      <c r="A107" t="s">
        <v>55</v>
      </c>
      <c r="B107" t="s">
        <v>28</v>
      </c>
      <c r="C107">
        <v>5720.8475512326859</v>
      </c>
      <c r="D107">
        <v>6873.4611797086909</v>
      </c>
      <c r="E107">
        <v>6086.9353279432153</v>
      </c>
      <c r="F107">
        <v>8447.5712763723095</v>
      </c>
      <c r="G107">
        <v>7312.1349580351352</v>
      </c>
      <c r="H107">
        <v>7234.0821537738884</v>
      </c>
      <c r="I107" t="s">
        <v>56</v>
      </c>
    </row>
    <row r="108" spans="1:9" x14ac:dyDescent="0.35">
      <c r="A108" t="s">
        <v>55</v>
      </c>
      <c r="B108" t="s">
        <v>29</v>
      </c>
      <c r="C108">
        <v>3016.7100144785654</v>
      </c>
      <c r="D108">
        <v>3018.7673351919461</v>
      </c>
      <c r="E108">
        <v>3236.1048429446755</v>
      </c>
      <c r="F108">
        <v>2441.0409983642899</v>
      </c>
      <c r="G108">
        <v>3708.9575451718797</v>
      </c>
      <c r="H108">
        <v>3223.4980152512503</v>
      </c>
      <c r="I108" t="s">
        <v>56</v>
      </c>
    </row>
    <row r="109" spans="1:9" x14ac:dyDescent="0.35">
      <c r="A109" t="s">
        <v>55</v>
      </c>
      <c r="B109" t="s">
        <v>30</v>
      </c>
      <c r="C109">
        <v>2383.7357254050721</v>
      </c>
      <c r="D109">
        <v>2854.0109883829864</v>
      </c>
      <c r="E109">
        <v>2617.8971576491313</v>
      </c>
      <c r="F109">
        <v>2373.6297456575921</v>
      </c>
      <c r="G109">
        <v>2574.5308111915115</v>
      </c>
      <c r="H109">
        <v>2724.3858361625003</v>
      </c>
      <c r="I109" t="s">
        <v>56</v>
      </c>
    </row>
    <row r="110" spans="1:9" x14ac:dyDescent="0.35">
      <c r="A110" t="s">
        <v>55</v>
      </c>
      <c r="B110" t="s">
        <v>31</v>
      </c>
      <c r="C110">
        <v>1636.2067335979978</v>
      </c>
      <c r="D110">
        <v>1611.6992590280199</v>
      </c>
      <c r="E110">
        <v>1171.7068948632416</v>
      </c>
      <c r="F110">
        <v>2358.5774936797343</v>
      </c>
      <c r="G110">
        <v>2603.7633523008267</v>
      </c>
      <c r="H110">
        <v>2275.9121849460748</v>
      </c>
      <c r="I110" t="s">
        <v>56</v>
      </c>
    </row>
    <row r="111" spans="1:9" x14ac:dyDescent="0.35">
      <c r="A111" t="s">
        <v>55</v>
      </c>
      <c r="B111" t="s">
        <v>32</v>
      </c>
      <c r="C111">
        <v>2281.4419751622704</v>
      </c>
      <c r="D111">
        <v>1634.5668606765382</v>
      </c>
      <c r="E111">
        <v>1675.9106411154171</v>
      </c>
      <c r="F111">
        <v>1946.657037392634</v>
      </c>
      <c r="G111">
        <v>2917.047556690382</v>
      </c>
      <c r="H111">
        <v>2586.6864363383334</v>
      </c>
      <c r="I111" t="s">
        <v>56</v>
      </c>
    </row>
    <row r="112" spans="1:9" x14ac:dyDescent="0.35">
      <c r="A112" t="s">
        <v>55</v>
      </c>
      <c r="B112" t="s">
        <v>33</v>
      </c>
      <c r="C112">
        <v>7634.8173800125205</v>
      </c>
      <c r="D112">
        <v>5873.4972561708882</v>
      </c>
      <c r="E112">
        <v>4458.1666428081362</v>
      </c>
      <c r="F112">
        <v>6110.3283752641528</v>
      </c>
      <c r="G112">
        <v>5475.3682574124505</v>
      </c>
      <c r="H112">
        <v>5211.4822649999996</v>
      </c>
      <c r="I112" t="s">
        <v>56</v>
      </c>
    </row>
    <row r="113" spans="1:9" x14ac:dyDescent="0.35">
      <c r="A113" t="s">
        <v>55</v>
      </c>
      <c r="B113" t="s">
        <v>34</v>
      </c>
      <c r="C113">
        <v>696.14614393892123</v>
      </c>
      <c r="D113">
        <v>508.89651893058959</v>
      </c>
      <c r="E113">
        <v>859.96852925242001</v>
      </c>
      <c r="F113">
        <v>929.47608647382606</v>
      </c>
      <c r="G113">
        <v>1050.6984914919949</v>
      </c>
      <c r="H113">
        <v>777.35197243229504</v>
      </c>
      <c r="I113" t="s">
        <v>56</v>
      </c>
    </row>
    <row r="114" spans="1:9" x14ac:dyDescent="0.35">
      <c r="A114" t="s">
        <v>55</v>
      </c>
      <c r="B114" t="s">
        <v>35</v>
      </c>
      <c r="C114">
        <v>897.90643811463212</v>
      </c>
      <c r="D114">
        <v>1143.4731217339654</v>
      </c>
      <c r="E114">
        <v>957.38510255920869</v>
      </c>
      <c r="F114">
        <v>1786.8645783228458</v>
      </c>
      <c r="G114">
        <v>1270.3118004852217</v>
      </c>
      <c r="H114">
        <v>1162.4132606842134</v>
      </c>
      <c r="I114" t="s">
        <v>56</v>
      </c>
    </row>
    <row r="115" spans="1:9" x14ac:dyDescent="0.35">
      <c r="A115" t="s">
        <v>55</v>
      </c>
      <c r="B115" t="s">
        <v>36</v>
      </c>
      <c r="C115">
        <v>2446.9826294434793</v>
      </c>
      <c r="D115">
        <v>2310.6212595687234</v>
      </c>
      <c r="E115">
        <v>2548.0972742521144</v>
      </c>
      <c r="F115">
        <v>2243.3644599394079</v>
      </c>
      <c r="G115">
        <v>2356.9986485544728</v>
      </c>
      <c r="H115">
        <v>2592.3747551933216</v>
      </c>
      <c r="I115" t="s">
        <v>56</v>
      </c>
    </row>
    <row r="116" spans="1:9" x14ac:dyDescent="0.35">
      <c r="A116" t="s">
        <v>55</v>
      </c>
      <c r="B116" t="s">
        <v>37</v>
      </c>
      <c r="C116">
        <v>2293.9666255683123</v>
      </c>
      <c r="D116">
        <v>1901.8091297073533</v>
      </c>
      <c r="E116">
        <v>1804.5788768440686</v>
      </c>
      <c r="F116">
        <v>2090.9836775728681</v>
      </c>
      <c r="G116">
        <v>2207.6253048075482</v>
      </c>
      <c r="H116">
        <v>2199.4526982443235</v>
      </c>
      <c r="I116" t="s">
        <v>56</v>
      </c>
    </row>
    <row r="117" spans="1:9" x14ac:dyDescent="0.35">
      <c r="A117" t="s">
        <v>55</v>
      </c>
      <c r="B117" t="s">
        <v>38</v>
      </c>
      <c r="C117">
        <v>2500.1606007706514</v>
      </c>
      <c r="D117">
        <v>1945.761492324966</v>
      </c>
      <c r="E117">
        <v>1863.2379205566745</v>
      </c>
      <c r="F117">
        <v>2155.8951447598479</v>
      </c>
      <c r="G117">
        <v>2217.2639684043584</v>
      </c>
      <c r="H117">
        <v>2147.8293412650969</v>
      </c>
      <c r="I117" t="s">
        <v>56</v>
      </c>
    </row>
    <row r="118" spans="1:9" x14ac:dyDescent="0.35">
      <c r="A118" t="s">
        <v>55</v>
      </c>
      <c r="B118" t="s">
        <v>39</v>
      </c>
      <c r="C118">
        <v>2014.7201609654601</v>
      </c>
      <c r="D118">
        <v>1636.4984918715425</v>
      </c>
      <c r="E118">
        <v>1761.0006141111514</v>
      </c>
      <c r="F118">
        <v>1879.12445216932</v>
      </c>
      <c r="G118">
        <v>1831.1913155543016</v>
      </c>
      <c r="H118">
        <v>1939.3646643076165</v>
      </c>
      <c r="I118" t="s">
        <v>56</v>
      </c>
    </row>
    <row r="119" spans="1:9" x14ac:dyDescent="0.35">
      <c r="A119" t="s">
        <v>55</v>
      </c>
      <c r="B119" t="s">
        <v>40</v>
      </c>
      <c r="C119">
        <v>2502.4446886403725</v>
      </c>
      <c r="D119">
        <v>2016.1476416504618</v>
      </c>
      <c r="E119">
        <v>2055.1700595916145</v>
      </c>
      <c r="F119">
        <v>2141.1446541393138</v>
      </c>
      <c r="G119">
        <v>2255.6003483847617</v>
      </c>
      <c r="H119">
        <v>2200.9336349805549</v>
      </c>
      <c r="I119" t="s">
        <v>56</v>
      </c>
    </row>
    <row r="120" spans="1:9" x14ac:dyDescent="0.35">
      <c r="A120" t="s">
        <v>55</v>
      </c>
      <c r="B120" t="s">
        <v>41</v>
      </c>
      <c r="C120">
        <v>2259.4732240463895</v>
      </c>
      <c r="D120">
        <v>2469.1266666666666</v>
      </c>
      <c r="E120">
        <v>1910.5194955884015</v>
      </c>
      <c r="F120">
        <v>2143.6795672649482</v>
      </c>
      <c r="G120">
        <v>2642.7977777777783</v>
      </c>
      <c r="H120">
        <v>2235.9499902777784</v>
      </c>
      <c r="I120" t="s">
        <v>56</v>
      </c>
    </row>
    <row r="121" spans="1:9" x14ac:dyDescent="0.35">
      <c r="A121" t="s">
        <v>55</v>
      </c>
      <c r="B121" t="s">
        <v>42</v>
      </c>
      <c r="C121">
        <v>6330.4913377382609</v>
      </c>
      <c r="D121">
        <v>6716.8238975746835</v>
      </c>
      <c r="E121">
        <v>4794.2777630543715</v>
      </c>
      <c r="F121">
        <v>7226.5683967556233</v>
      </c>
      <c r="G121">
        <v>6758.8052913388419</v>
      </c>
      <c r="H121">
        <v>6290.5</v>
      </c>
      <c r="I121" t="s">
        <v>56</v>
      </c>
    </row>
    <row r="122" spans="1:9" x14ac:dyDescent="0.35">
      <c r="A122" t="s">
        <v>55</v>
      </c>
      <c r="B122" t="s">
        <v>43</v>
      </c>
      <c r="C122">
        <v>684.28176947109955</v>
      </c>
      <c r="D122">
        <v>663.18139428681388</v>
      </c>
      <c r="E122">
        <v>561.48170674296318</v>
      </c>
      <c r="F122">
        <v>827.40585457647683</v>
      </c>
      <c r="G122">
        <v>1147.02775223455</v>
      </c>
      <c r="H122">
        <v>689.53153514955159</v>
      </c>
      <c r="I122" t="s">
        <v>56</v>
      </c>
    </row>
    <row r="123" spans="1:9" x14ac:dyDescent="0.35">
      <c r="A123" t="s">
        <v>55</v>
      </c>
      <c r="B123" t="s">
        <v>44</v>
      </c>
      <c r="C123">
        <v>6640.78666494139</v>
      </c>
      <c r="D123">
        <v>5851.8978300234912</v>
      </c>
      <c r="E123">
        <v>4610.8462281606426</v>
      </c>
      <c r="F123">
        <v>6241.2554448838837</v>
      </c>
      <c r="G123">
        <v>5812.9268513987108</v>
      </c>
      <c r="H123">
        <v>6054.1039520789209</v>
      </c>
      <c r="I123" t="s">
        <v>56</v>
      </c>
    </row>
    <row r="124" spans="1:9" x14ac:dyDescent="0.35">
      <c r="A124" t="s">
        <v>55</v>
      </c>
      <c r="B124" t="s">
        <v>45</v>
      </c>
      <c r="C124">
        <v>1051.2708608735832</v>
      </c>
      <c r="D124">
        <v>1104.6055975984377</v>
      </c>
      <c r="E124">
        <v>879.22235734415131</v>
      </c>
      <c r="F124">
        <v>1094.585788993639</v>
      </c>
      <c r="G124">
        <v>1135.4480456349199</v>
      </c>
      <c r="H124">
        <v>1054.9399441666667</v>
      </c>
      <c r="I124" t="s">
        <v>56</v>
      </c>
    </row>
    <row r="125" spans="1:9" x14ac:dyDescent="0.35">
      <c r="A125" t="s">
        <v>55</v>
      </c>
      <c r="B125" t="s">
        <v>46</v>
      </c>
      <c r="C125">
        <v>862.45236616189698</v>
      </c>
      <c r="D125">
        <v>1049.8114961223334</v>
      </c>
      <c r="E125">
        <v>861.48572051672875</v>
      </c>
      <c r="F125">
        <v>923.11597939923445</v>
      </c>
      <c r="G125">
        <v>991.57383369258014</v>
      </c>
      <c r="H125">
        <v>904.84273637333342</v>
      </c>
      <c r="I125" t="s">
        <v>56</v>
      </c>
    </row>
    <row r="126" spans="1:9" x14ac:dyDescent="0.35">
      <c r="A126" t="s">
        <v>55</v>
      </c>
      <c r="B126" t="s">
        <v>47</v>
      </c>
      <c r="C126">
        <v>7088.3488112146733</v>
      </c>
      <c r="D126">
        <v>5619.7602320117285</v>
      </c>
      <c r="E126">
        <v>6819.1485101251692</v>
      </c>
      <c r="F126">
        <v>6357.6124574016403</v>
      </c>
      <c r="G126">
        <v>6026.0098715483764</v>
      </c>
      <c r="H126">
        <v>5934.3313400104353</v>
      </c>
      <c r="I126" t="s">
        <v>56</v>
      </c>
    </row>
    <row r="127" spans="1:9" x14ac:dyDescent="0.35">
      <c r="A127" t="s">
        <v>55</v>
      </c>
      <c r="B127" t="s">
        <v>48</v>
      </c>
      <c r="C127">
        <v>961.68905608193779</v>
      </c>
      <c r="D127">
        <v>976.80113937243675</v>
      </c>
      <c r="E127">
        <v>790.33397066662712</v>
      </c>
      <c r="F127">
        <v>1198.7584589680341</v>
      </c>
      <c r="G127">
        <v>1310.2674751877</v>
      </c>
      <c r="H127">
        <v>1188.7462368461333</v>
      </c>
      <c r="I127" t="s">
        <v>56</v>
      </c>
    </row>
    <row r="128" spans="1:9" x14ac:dyDescent="0.35">
      <c r="A128" t="s">
        <v>55</v>
      </c>
      <c r="B128" t="s">
        <v>49</v>
      </c>
      <c r="C128">
        <v>3146.0344211954985</v>
      </c>
      <c r="D128">
        <v>3211.2284487790098</v>
      </c>
      <c r="E128">
        <v>2890.321433016074</v>
      </c>
      <c r="F128">
        <v>3843.1718489277882</v>
      </c>
      <c r="G128">
        <v>3698.3435228174603</v>
      </c>
      <c r="H128">
        <v>3023.9778807176467</v>
      </c>
      <c r="I128" t="s">
        <v>56</v>
      </c>
    </row>
    <row r="129" spans="1:9" x14ac:dyDescent="0.35">
      <c r="A129" t="s">
        <v>55</v>
      </c>
      <c r="B129" t="s">
        <v>50</v>
      </c>
      <c r="C129">
        <v>1901.4969739499259</v>
      </c>
      <c r="D129">
        <v>1638.3599680584823</v>
      </c>
      <c r="E129">
        <v>1539.7660692573002</v>
      </c>
      <c r="F129">
        <v>2388.8677869356443</v>
      </c>
      <c r="G129">
        <v>2387.0256272732149</v>
      </c>
      <c r="H129">
        <v>2385.3854102481614</v>
      </c>
      <c r="I129" t="s">
        <v>56</v>
      </c>
    </row>
    <row r="130" spans="1:9" x14ac:dyDescent="0.35">
      <c r="A130" t="s">
        <v>55</v>
      </c>
      <c r="B130" t="s">
        <v>51</v>
      </c>
      <c r="C130">
        <v>3979.8057945436199</v>
      </c>
      <c r="D130">
        <v>3477.7802202822331</v>
      </c>
      <c r="E130">
        <v>3547.4328055405254</v>
      </c>
      <c r="F130">
        <v>3510.703366034486</v>
      </c>
      <c r="G130">
        <v>3732.1577726722221</v>
      </c>
      <c r="H130">
        <v>3604.0368679030548</v>
      </c>
      <c r="I130" t="s">
        <v>56</v>
      </c>
    </row>
    <row r="131" spans="1:9" x14ac:dyDescent="0.35">
      <c r="A131" t="s">
        <v>55</v>
      </c>
      <c r="B131" t="s">
        <v>52</v>
      </c>
      <c r="C131">
        <v>1766.8620706273621</v>
      </c>
      <c r="D131">
        <v>1971.6215232440402</v>
      </c>
      <c r="E131">
        <v>1994.0627026703271</v>
      </c>
      <c r="F131">
        <v>2318.2880422565099</v>
      </c>
      <c r="G131">
        <v>2493.2421271267167</v>
      </c>
      <c r="H131">
        <v>1885.7069022385915</v>
      </c>
      <c r="I131" t="s">
        <v>56</v>
      </c>
    </row>
    <row r="132" spans="1:9" x14ac:dyDescent="0.35">
      <c r="A132" t="s">
        <v>55</v>
      </c>
      <c r="I132" t="s">
        <v>56</v>
      </c>
    </row>
    <row r="133" spans="1:9" x14ac:dyDescent="0.35">
      <c r="A133" t="s">
        <v>55</v>
      </c>
      <c r="I133" t="s">
        <v>56</v>
      </c>
    </row>
    <row r="134" spans="1:9" x14ac:dyDescent="0.35">
      <c r="A134" t="s">
        <v>57</v>
      </c>
      <c r="B134" t="s">
        <v>10</v>
      </c>
      <c r="C134">
        <v>244.880797</v>
      </c>
      <c r="D134">
        <v>239.16666666666666</v>
      </c>
      <c r="E134">
        <v>238.57142857142858</v>
      </c>
      <c r="F134">
        <v>280.31242090000001</v>
      </c>
      <c r="G134">
        <v>259.3452380833333</v>
      </c>
      <c r="H134">
        <v>257.5</v>
      </c>
      <c r="I134" t="s">
        <v>58</v>
      </c>
    </row>
    <row r="135" spans="1:9" x14ac:dyDescent="0.35">
      <c r="A135" t="s">
        <v>57</v>
      </c>
      <c r="B135" t="s">
        <v>12</v>
      </c>
      <c r="C135">
        <v>5543.4336507142852</v>
      </c>
      <c r="D135">
        <v>6291.666666666667</v>
      </c>
      <c r="E135">
        <v>5772.8571428571431</v>
      </c>
      <c r="F135">
        <v>6469.757333333333</v>
      </c>
      <c r="G135">
        <v>5912.0357142499997</v>
      </c>
      <c r="H135">
        <v>6055.208333333333</v>
      </c>
      <c r="I135" t="s">
        <v>58</v>
      </c>
    </row>
    <row r="136" spans="1:9" x14ac:dyDescent="0.35">
      <c r="A136" t="s">
        <v>57</v>
      </c>
      <c r="B136" t="s">
        <v>13</v>
      </c>
      <c r="C136">
        <v>2688.1100677729596</v>
      </c>
      <c r="D136">
        <v>2449.8543969999996</v>
      </c>
      <c r="E136">
        <v>1803.6721464583334</v>
      </c>
      <c r="F136">
        <v>3025.1965005476204</v>
      </c>
      <c r="G136">
        <v>2667.5711122499997</v>
      </c>
      <c r="H136">
        <v>2327.9352488564814</v>
      </c>
      <c r="I136" t="s">
        <v>58</v>
      </c>
    </row>
    <row r="137" spans="1:9" x14ac:dyDescent="0.35">
      <c r="A137" t="s">
        <v>57</v>
      </c>
      <c r="B137" t="s">
        <v>14</v>
      </c>
      <c r="C137">
        <v>2079.5895365714287</v>
      </c>
      <c r="D137">
        <v>1994.8439832500001</v>
      </c>
      <c r="E137">
        <v>1625.2521247976194</v>
      </c>
      <c r="F137">
        <v>2650.7934115539679</v>
      </c>
      <c r="G137">
        <v>2514.7558922976182</v>
      </c>
      <c r="H137">
        <v>1997.453963424603</v>
      </c>
      <c r="I137" t="s">
        <v>58</v>
      </c>
    </row>
    <row r="138" spans="1:9" x14ac:dyDescent="0.35">
      <c r="A138" t="s">
        <v>57</v>
      </c>
      <c r="B138" t="s">
        <v>15</v>
      </c>
      <c r="C138">
        <v>5772.7750543571437</v>
      </c>
      <c r="D138">
        <v>6086.1111111111122</v>
      </c>
      <c r="E138">
        <v>5593.5714285714284</v>
      </c>
      <c r="F138">
        <v>7951.8777308380941</v>
      </c>
      <c r="G138">
        <v>6435.2477354305529</v>
      </c>
      <c r="H138">
        <v>6253.0015343333334</v>
      </c>
      <c r="I138" t="s">
        <v>58</v>
      </c>
    </row>
    <row r="139" spans="1:9" x14ac:dyDescent="0.35">
      <c r="A139" t="s">
        <v>57</v>
      </c>
      <c r="B139" t="s">
        <v>16</v>
      </c>
      <c r="C139">
        <v>1705.8704010714284</v>
      </c>
      <c r="D139">
        <v>1531.29375</v>
      </c>
      <c r="E139">
        <v>1680.5833333571427</v>
      </c>
      <c r="F139">
        <v>1550</v>
      </c>
      <c r="G139">
        <v>1675.7275131944443</v>
      </c>
      <c r="H139">
        <v>1621.7592592592591</v>
      </c>
      <c r="I139" t="s">
        <v>58</v>
      </c>
    </row>
    <row r="140" spans="1:9" x14ac:dyDescent="0.35">
      <c r="A140" t="s">
        <v>57</v>
      </c>
      <c r="B140" t="s">
        <v>17</v>
      </c>
      <c r="C140">
        <v>1552.5907695000001</v>
      </c>
      <c r="D140">
        <v>1227.1270833333333</v>
      </c>
      <c r="E140">
        <v>1668.6966577585044</v>
      </c>
      <c r="F140">
        <v>1424.7492890999999</v>
      </c>
      <c r="G140">
        <v>1746.6746031666669</v>
      </c>
      <c r="H140">
        <v>1314.872685185185</v>
      </c>
      <c r="I140" t="s">
        <v>58</v>
      </c>
    </row>
    <row r="141" spans="1:9" x14ac:dyDescent="0.35">
      <c r="A141" t="s">
        <v>57</v>
      </c>
      <c r="B141" t="s">
        <v>18</v>
      </c>
      <c r="C141">
        <v>1552.8571428571429</v>
      </c>
      <c r="D141">
        <v>1663.3333333333333</v>
      </c>
      <c r="E141">
        <v>1532.1194148690477</v>
      </c>
      <c r="F141">
        <v>2087.2619046933332</v>
      </c>
      <c r="G141">
        <v>2256.0606060833334</v>
      </c>
      <c r="H141">
        <v>2080.0709219479163</v>
      </c>
      <c r="I141" t="s">
        <v>58</v>
      </c>
    </row>
    <row r="142" spans="1:9" x14ac:dyDescent="0.35">
      <c r="A142" t="s">
        <v>57</v>
      </c>
      <c r="B142" t="s">
        <v>19</v>
      </c>
      <c r="C142">
        <v>6438.964363666666</v>
      </c>
      <c r="D142">
        <v>5058.333333333333</v>
      </c>
      <c r="E142">
        <v>4102.2619047619037</v>
      </c>
      <c r="F142">
        <v>5609.5782800249999</v>
      </c>
      <c r="G142">
        <v>5537.6796252916656</v>
      </c>
      <c r="H142">
        <v>5018.1250000000009</v>
      </c>
      <c r="I142" t="s">
        <v>58</v>
      </c>
    </row>
    <row r="143" spans="1:9" x14ac:dyDescent="0.35">
      <c r="A143" t="s">
        <v>57</v>
      </c>
      <c r="B143" t="s">
        <v>20</v>
      </c>
      <c r="C143">
        <v>3753.7476195410004</v>
      </c>
      <c r="D143">
        <v>2846.6666666666665</v>
      </c>
      <c r="E143">
        <v>2428.9520833571432</v>
      </c>
      <c r="F143">
        <v>3176.6266646200002</v>
      </c>
      <c r="G143">
        <v>3788.09027775</v>
      </c>
      <c r="H143">
        <v>4142.4206349444439</v>
      </c>
      <c r="I143" t="s">
        <v>58</v>
      </c>
    </row>
    <row r="144" spans="1:9" x14ac:dyDescent="0.35">
      <c r="A144" t="s">
        <v>57</v>
      </c>
      <c r="B144" t="s">
        <v>21</v>
      </c>
      <c r="C144">
        <v>5957.1428571428569</v>
      </c>
      <c r="D144">
        <v>4716.666666666667</v>
      </c>
      <c r="E144">
        <v>4581.4285714285716</v>
      </c>
      <c r="F144">
        <v>7528</v>
      </c>
      <c r="G144">
        <v>5420</v>
      </c>
      <c r="H144">
        <v>5536.666666666667</v>
      </c>
      <c r="I144" t="s">
        <v>58</v>
      </c>
    </row>
    <row r="145" spans="1:9" x14ac:dyDescent="0.35">
      <c r="A145" t="s">
        <v>57</v>
      </c>
      <c r="B145" t="s">
        <v>22</v>
      </c>
      <c r="C145">
        <v>4579.0111125714284</v>
      </c>
      <c r="D145">
        <v>3459.875</v>
      </c>
      <c r="E145">
        <v>3857.0833332857142</v>
      </c>
      <c r="F145">
        <v>4526.2076601799999</v>
      </c>
      <c r="G145">
        <v>4984.0029761666665</v>
      </c>
      <c r="H145">
        <v>5041.0052909722217</v>
      </c>
      <c r="I145" t="s">
        <v>58</v>
      </c>
    </row>
    <row r="146" spans="1:9" x14ac:dyDescent="0.35">
      <c r="A146" t="s">
        <v>57</v>
      </c>
      <c r="B146" t="s">
        <v>23</v>
      </c>
      <c r="C146">
        <v>7180.8221428571424</v>
      </c>
      <c r="D146">
        <v>7006.8627450833337</v>
      </c>
      <c r="E146">
        <v>6856.4508118571439</v>
      </c>
      <c r="F146">
        <v>6420</v>
      </c>
      <c r="G146">
        <v>4818.333333333333</v>
      </c>
      <c r="H146">
        <v>6164.0388183611103</v>
      </c>
      <c r="I146" t="s">
        <v>58</v>
      </c>
    </row>
    <row r="147" spans="1:9" x14ac:dyDescent="0.35">
      <c r="A147" t="s">
        <v>57</v>
      </c>
      <c r="B147" t="s">
        <v>24</v>
      </c>
      <c r="C147">
        <v>7290.6457625714293</v>
      </c>
      <c r="D147">
        <v>5554.6296296666669</v>
      </c>
      <c r="E147">
        <v>5095.2741702142857</v>
      </c>
      <c r="F147">
        <v>8580.1081061666664</v>
      </c>
      <c r="G147">
        <v>5455.1717677777779</v>
      </c>
      <c r="H147">
        <v>5376.666666666667</v>
      </c>
      <c r="I147" t="s">
        <v>58</v>
      </c>
    </row>
    <row r="148" spans="1:9" x14ac:dyDescent="0.35">
      <c r="A148" t="s">
        <v>57</v>
      </c>
      <c r="B148" t="s">
        <v>25</v>
      </c>
      <c r="C148">
        <v>1231.3142182142858</v>
      </c>
      <c r="D148">
        <v>1316.7162169166668</v>
      </c>
      <c r="E148">
        <v>1559.2989840071434</v>
      </c>
      <c r="F148">
        <v>1274.5135120999998</v>
      </c>
      <c r="G148">
        <v>1211.613562</v>
      </c>
      <c r="H148">
        <v>1030.2171591488097</v>
      </c>
      <c r="I148" t="s">
        <v>58</v>
      </c>
    </row>
    <row r="149" spans="1:9" x14ac:dyDescent="0.35">
      <c r="A149" t="s">
        <v>57</v>
      </c>
      <c r="B149" t="s">
        <v>26</v>
      </c>
      <c r="C149">
        <v>1297.9494119999999</v>
      </c>
      <c r="D149">
        <v>1465.7282976250001</v>
      </c>
      <c r="E149">
        <v>1606.6044573285715</v>
      </c>
      <c r="F149">
        <v>1398.3803332031741</v>
      </c>
      <c r="G149">
        <v>1313.4217525277784</v>
      </c>
      <c r="H149">
        <v>1165.5075138611112</v>
      </c>
      <c r="I149" t="s">
        <v>58</v>
      </c>
    </row>
    <row r="150" spans="1:9" x14ac:dyDescent="0.35">
      <c r="A150" t="s">
        <v>57</v>
      </c>
      <c r="B150" t="s">
        <v>27</v>
      </c>
      <c r="C150">
        <v>4271.2454212261919</v>
      </c>
      <c r="D150">
        <v>4072.5</v>
      </c>
      <c r="E150">
        <v>3598.8742011190475</v>
      </c>
      <c r="F150">
        <v>4860.8699335500005</v>
      </c>
      <c r="G150">
        <v>4808.333333333333</v>
      </c>
      <c r="H150">
        <v>4846.666666666667</v>
      </c>
      <c r="I150" t="s">
        <v>58</v>
      </c>
    </row>
    <row r="151" spans="1:9" x14ac:dyDescent="0.35">
      <c r="A151" t="s">
        <v>57</v>
      </c>
      <c r="B151" t="s">
        <v>28</v>
      </c>
      <c r="C151">
        <v>5166.0996619285715</v>
      </c>
      <c r="D151">
        <v>5740.4000000000005</v>
      </c>
      <c r="E151">
        <v>5687.7112135714287</v>
      </c>
      <c r="F151">
        <v>7522.5016461616669</v>
      </c>
      <c r="G151">
        <v>7382.8635602916665</v>
      </c>
      <c r="H151">
        <v>6788.3816527430563</v>
      </c>
      <c r="I151" t="s">
        <v>58</v>
      </c>
    </row>
    <row r="152" spans="1:9" x14ac:dyDescent="0.35">
      <c r="A152" t="s">
        <v>57</v>
      </c>
      <c r="B152" t="s">
        <v>29</v>
      </c>
      <c r="C152">
        <v>2689.6634541428571</v>
      </c>
      <c r="D152">
        <v>2977.77777775</v>
      </c>
      <c r="E152">
        <v>2739.8290476428569</v>
      </c>
      <c r="F152">
        <v>2904.3248113</v>
      </c>
      <c r="G152">
        <v>3509.880952333333</v>
      </c>
      <c r="H152">
        <v>3503.2777777777774</v>
      </c>
      <c r="I152" t="s">
        <v>58</v>
      </c>
    </row>
    <row r="153" spans="1:9" x14ac:dyDescent="0.35">
      <c r="A153" t="s">
        <v>57</v>
      </c>
      <c r="B153" t="s">
        <v>30</v>
      </c>
      <c r="C153">
        <v>2285.2823266428572</v>
      </c>
      <c r="D153">
        <v>2133.3333333333335</v>
      </c>
      <c r="E153">
        <v>2357.5697778571425</v>
      </c>
      <c r="F153">
        <v>2696.25</v>
      </c>
      <c r="G153">
        <v>2616.3690475833332</v>
      </c>
      <c r="H153">
        <v>2340.3333333333335</v>
      </c>
      <c r="I153" t="s">
        <v>58</v>
      </c>
    </row>
    <row r="154" spans="1:9" x14ac:dyDescent="0.35">
      <c r="A154" t="s">
        <v>57</v>
      </c>
      <c r="B154" t="s">
        <v>31</v>
      </c>
      <c r="C154">
        <v>1645.8066776663331</v>
      </c>
      <c r="D154">
        <v>1244.8118279166667</v>
      </c>
      <c r="E154">
        <v>1348.7394075357145</v>
      </c>
      <c r="F154">
        <v>2309.2839631850002</v>
      </c>
      <c r="G154">
        <v>2076.1471645833331</v>
      </c>
      <c r="H154">
        <v>2092.1787517569446</v>
      </c>
      <c r="I154" t="s">
        <v>58</v>
      </c>
    </row>
    <row r="155" spans="1:9" x14ac:dyDescent="0.35">
      <c r="A155" t="s">
        <v>57</v>
      </c>
      <c r="B155" t="s">
        <v>32</v>
      </c>
      <c r="C155">
        <v>3079.5676076073573</v>
      </c>
      <c r="D155">
        <v>1643.4588252499998</v>
      </c>
      <c r="E155">
        <v>1610.6313636369043</v>
      </c>
      <c r="F155">
        <v>2393.2644050900003</v>
      </c>
      <c r="G155">
        <v>3219.3630251249997</v>
      </c>
      <c r="H155">
        <v>3488.0952380833332</v>
      </c>
      <c r="I155" t="s">
        <v>58</v>
      </c>
    </row>
    <row r="156" spans="1:9" x14ac:dyDescent="0.35">
      <c r="A156" t="s">
        <v>57</v>
      </c>
      <c r="B156" t="s">
        <v>33</v>
      </c>
      <c r="C156">
        <v>7346.7422737142851</v>
      </c>
      <c r="D156">
        <v>5333.333333333333</v>
      </c>
      <c r="E156">
        <v>4613.0357142857147</v>
      </c>
      <c r="F156">
        <v>4701.531008476667</v>
      </c>
      <c r="G156">
        <v>4812.3144034166662</v>
      </c>
      <c r="H156">
        <v>4254.4360097083336</v>
      </c>
      <c r="I156" t="s">
        <v>58</v>
      </c>
    </row>
    <row r="157" spans="1:9" x14ac:dyDescent="0.35">
      <c r="A157" t="s">
        <v>57</v>
      </c>
      <c r="B157" t="s">
        <v>34</v>
      </c>
      <c r="C157">
        <v>987.33966838095228</v>
      </c>
      <c r="D157">
        <v>988.5575049444443</v>
      </c>
      <c r="E157">
        <v>1110.7010322772107</v>
      </c>
      <c r="F157">
        <v>1442.0305215458338</v>
      </c>
      <c r="G157">
        <v>1385.8403859166665</v>
      </c>
      <c r="H157">
        <v>1187.0087598541666</v>
      </c>
      <c r="I157" t="s">
        <v>58</v>
      </c>
    </row>
    <row r="158" spans="1:9" x14ac:dyDescent="0.35">
      <c r="A158" t="s">
        <v>57</v>
      </c>
      <c r="B158" t="s">
        <v>35</v>
      </c>
      <c r="C158">
        <v>1228.1000327857143</v>
      </c>
      <c r="D158">
        <v>745.92592591666664</v>
      </c>
      <c r="E158">
        <v>1094.8550120777199</v>
      </c>
      <c r="F158">
        <v>1866.1824875666666</v>
      </c>
      <c r="G158">
        <v>2310.3249186166672</v>
      </c>
      <c r="H158">
        <v>1139.4079294999999</v>
      </c>
      <c r="I158" t="s">
        <v>58</v>
      </c>
    </row>
    <row r="159" spans="1:9" x14ac:dyDescent="0.35">
      <c r="A159" t="s">
        <v>57</v>
      </c>
      <c r="B159" t="s">
        <v>36</v>
      </c>
      <c r="C159">
        <v>2160.0713040714286</v>
      </c>
      <c r="D159">
        <v>2041.6666667222223</v>
      </c>
      <c r="E159">
        <v>2549.0476190714285</v>
      </c>
      <c r="F159">
        <v>2446.1392975333338</v>
      </c>
      <c r="G159">
        <v>2422.142857166667</v>
      </c>
      <c r="H159">
        <v>2706.034188034188</v>
      </c>
      <c r="I159" t="s">
        <v>58</v>
      </c>
    </row>
    <row r="160" spans="1:9" x14ac:dyDescent="0.35">
      <c r="A160" t="s">
        <v>57</v>
      </c>
      <c r="B160" t="s">
        <v>37</v>
      </c>
      <c r="C160">
        <v>2070.5971857142858</v>
      </c>
      <c r="D160">
        <v>1808.2779146666664</v>
      </c>
      <c r="E160">
        <v>1781.1713424523816</v>
      </c>
      <c r="F160">
        <v>2070.4021153999993</v>
      </c>
      <c r="G160">
        <v>1939.8056599444444</v>
      </c>
      <c r="H160">
        <v>1838.9286305110718</v>
      </c>
      <c r="I160" t="s">
        <v>58</v>
      </c>
    </row>
    <row r="161" spans="1:9" x14ac:dyDescent="0.35">
      <c r="A161" t="s">
        <v>57</v>
      </c>
      <c r="B161" t="s">
        <v>38</v>
      </c>
      <c r="C161">
        <v>2384.3887058571427</v>
      </c>
      <c r="D161">
        <v>2080.6839401666666</v>
      </c>
      <c r="E161">
        <v>1922.7110587142856</v>
      </c>
      <c r="F161">
        <v>2229.9053413023803</v>
      </c>
      <c r="G161">
        <v>2337.6453898333334</v>
      </c>
      <c r="H161">
        <v>1819.1059822037039</v>
      </c>
      <c r="I161" t="s">
        <v>58</v>
      </c>
    </row>
    <row r="162" spans="1:9" x14ac:dyDescent="0.35">
      <c r="A162" t="s">
        <v>57</v>
      </c>
      <c r="B162" t="s">
        <v>39</v>
      </c>
      <c r="C162">
        <v>2099.6620737999997</v>
      </c>
      <c r="D162">
        <v>2031.601408430555</v>
      </c>
      <c r="E162">
        <v>2097.0590326739798</v>
      </c>
      <c r="F162">
        <v>2099.1050888333343</v>
      </c>
      <c r="G162">
        <v>2203.9393939166671</v>
      </c>
      <c r="H162">
        <v>2000.0973782777776</v>
      </c>
      <c r="I162" t="s">
        <v>58</v>
      </c>
    </row>
    <row r="163" spans="1:9" x14ac:dyDescent="0.35">
      <c r="A163" t="s">
        <v>57</v>
      </c>
      <c r="B163" t="s">
        <v>40</v>
      </c>
      <c r="C163">
        <v>2667.5328203445001</v>
      </c>
      <c r="D163">
        <v>2273.6839380000001</v>
      </c>
      <c r="E163">
        <v>2758.0328126428572</v>
      </c>
      <c r="F163">
        <v>2562.9782520050003</v>
      </c>
      <c r="G163">
        <v>2660.0649350833332</v>
      </c>
      <c r="H163">
        <v>2418.6733101041664</v>
      </c>
      <c r="I163" t="s">
        <v>58</v>
      </c>
    </row>
    <row r="164" spans="1:9" x14ac:dyDescent="0.35">
      <c r="A164" t="s">
        <v>57</v>
      </c>
      <c r="B164" t="s">
        <v>41</v>
      </c>
      <c r="C164">
        <v>2140.1471405714283</v>
      </c>
      <c r="D164">
        <v>2111.6666666666665</v>
      </c>
      <c r="E164">
        <v>1830</v>
      </c>
      <c r="F164">
        <v>2403.2306429</v>
      </c>
      <c r="G164">
        <v>2236.25</v>
      </c>
      <c r="H164">
        <v>1904.6180555555557</v>
      </c>
      <c r="I164" t="s">
        <v>58</v>
      </c>
    </row>
    <row r="165" spans="1:9" x14ac:dyDescent="0.35">
      <c r="A165" t="s">
        <v>57</v>
      </c>
      <c r="B165" t="s">
        <v>42</v>
      </c>
      <c r="C165">
        <v>5743.3017689357139</v>
      </c>
      <c r="D165">
        <v>5493.7908496666669</v>
      </c>
      <c r="E165">
        <v>4405.1564812380957</v>
      </c>
      <c r="F165">
        <v>5677.3034399666667</v>
      </c>
      <c r="G165">
        <v>6026.9619200416664</v>
      </c>
      <c r="H165">
        <v>5566.0767569861118</v>
      </c>
      <c r="I165" t="s">
        <v>58</v>
      </c>
    </row>
    <row r="166" spans="1:9" x14ac:dyDescent="0.35">
      <c r="A166" t="s">
        <v>57</v>
      </c>
      <c r="B166" t="s">
        <v>43</v>
      </c>
      <c r="C166">
        <v>713.06354785714291</v>
      </c>
      <c r="D166">
        <v>788.69153400000005</v>
      </c>
      <c r="E166">
        <v>655.29109429710877</v>
      </c>
      <c r="F166">
        <v>797.35155659999998</v>
      </c>
      <c r="G166">
        <v>1426.232080202778</v>
      </c>
      <c r="H166">
        <v>601.21165599801589</v>
      </c>
      <c r="I166" t="s">
        <v>58</v>
      </c>
    </row>
    <row r="167" spans="1:9" x14ac:dyDescent="0.35">
      <c r="A167" t="s">
        <v>57</v>
      </c>
      <c r="B167" t="s">
        <v>44</v>
      </c>
      <c r="C167">
        <v>5931.8140553928561</v>
      </c>
      <c r="D167">
        <v>4966.5263375000004</v>
      </c>
      <c r="E167">
        <v>4603.0075187142857</v>
      </c>
      <c r="F167">
        <v>5050.2329841699993</v>
      </c>
      <c r="G167">
        <v>4888.1707810833332</v>
      </c>
      <c r="H167">
        <v>5120.4594017499994</v>
      </c>
      <c r="I167" t="s">
        <v>58</v>
      </c>
    </row>
    <row r="168" spans="1:9" x14ac:dyDescent="0.35">
      <c r="A168" t="s">
        <v>57</v>
      </c>
      <c r="B168" t="s">
        <v>45</v>
      </c>
      <c r="C168">
        <v>936.76040721428581</v>
      </c>
      <c r="D168">
        <v>920.83333333333337</v>
      </c>
      <c r="E168">
        <v>872.14285714285711</v>
      </c>
      <c r="F168">
        <v>1035</v>
      </c>
      <c r="G168">
        <v>963.6904761666666</v>
      </c>
      <c r="H168">
        <v>883.96990740740739</v>
      </c>
      <c r="I168" t="s">
        <v>58</v>
      </c>
    </row>
    <row r="169" spans="1:9" x14ac:dyDescent="0.35">
      <c r="A169" t="s">
        <v>57</v>
      </c>
      <c r="B169" t="s">
        <v>46</v>
      </c>
      <c r="C169">
        <v>753.91162657142854</v>
      </c>
      <c r="D169">
        <v>846.66666666666663</v>
      </c>
      <c r="E169">
        <v>807.85714285714289</v>
      </c>
      <c r="F169">
        <v>838.55</v>
      </c>
      <c r="G169">
        <v>945.1904761666666</v>
      </c>
      <c r="H169">
        <v>789.0625</v>
      </c>
      <c r="I169" t="s">
        <v>58</v>
      </c>
    </row>
    <row r="170" spans="1:9" x14ac:dyDescent="0.35">
      <c r="A170" t="s">
        <v>57</v>
      </c>
      <c r="B170" t="s">
        <v>47</v>
      </c>
      <c r="C170">
        <v>6629.0017087142851</v>
      </c>
      <c r="D170">
        <v>4870</v>
      </c>
      <c r="E170">
        <v>6123.4056122142856</v>
      </c>
      <c r="F170">
        <v>5312.606987066667</v>
      </c>
      <c r="G170">
        <v>5325.1920470277792</v>
      </c>
      <c r="H170">
        <v>4812.942888656481</v>
      </c>
      <c r="I170" t="s">
        <v>58</v>
      </c>
    </row>
    <row r="171" spans="1:9" x14ac:dyDescent="0.35">
      <c r="A171" t="s">
        <v>57</v>
      </c>
      <c r="B171" t="s">
        <v>48</v>
      </c>
      <c r="C171">
        <v>1045.913229</v>
      </c>
      <c r="D171">
        <v>786.66666666666663</v>
      </c>
      <c r="E171">
        <v>844.41387040493225</v>
      </c>
      <c r="F171">
        <v>1602.9385242761905</v>
      </c>
      <c r="G171">
        <v>1172.9019788666667</v>
      </c>
      <c r="H171">
        <v>1351.2950938055551</v>
      </c>
      <c r="I171" t="s">
        <v>58</v>
      </c>
    </row>
    <row r="172" spans="1:9" x14ac:dyDescent="0.35">
      <c r="A172" t="s">
        <v>57</v>
      </c>
      <c r="B172" t="s">
        <v>49</v>
      </c>
      <c r="C172">
        <v>2878.9491684285713</v>
      </c>
      <c r="D172">
        <v>2823.1481480833331</v>
      </c>
      <c r="E172">
        <v>2672.7380952142857</v>
      </c>
      <c r="F172">
        <v>3099.5333333000003</v>
      </c>
      <c r="G172">
        <v>3585.7738095</v>
      </c>
      <c r="H172">
        <v>3589.3124999444444</v>
      </c>
      <c r="I172" t="s">
        <v>58</v>
      </c>
    </row>
    <row r="173" spans="1:9" x14ac:dyDescent="0.35">
      <c r="A173" t="s">
        <v>57</v>
      </c>
      <c r="B173" t="s">
        <v>50</v>
      </c>
      <c r="C173">
        <v>1802.5839807142856</v>
      </c>
      <c r="D173">
        <v>1616.6666666666667</v>
      </c>
      <c r="E173">
        <v>1435.3112622397948</v>
      </c>
      <c r="F173">
        <v>2509</v>
      </c>
      <c r="G173">
        <v>2469.0476190833333</v>
      </c>
      <c r="H173">
        <v>1924.1666666666667</v>
      </c>
      <c r="I173" t="s">
        <v>58</v>
      </c>
    </row>
    <row r="174" spans="1:9" x14ac:dyDescent="0.35">
      <c r="A174" t="s">
        <v>57</v>
      </c>
      <c r="B174" t="s">
        <v>51</v>
      </c>
      <c r="C174">
        <v>3679.8002114096425</v>
      </c>
      <c r="D174">
        <v>3728.8888888333336</v>
      </c>
      <c r="E174">
        <v>3814.2857142857142</v>
      </c>
      <c r="F174">
        <v>5156.8945057983337</v>
      </c>
      <c r="G174">
        <v>3780.6547618333329</v>
      </c>
      <c r="H174">
        <v>3443.2291666666665</v>
      </c>
      <c r="I174" t="s">
        <v>58</v>
      </c>
    </row>
    <row r="175" spans="1:9" x14ac:dyDescent="0.35">
      <c r="A175" t="s">
        <v>57</v>
      </c>
      <c r="B175" t="s">
        <v>52</v>
      </c>
      <c r="C175">
        <v>1934.6090555952378</v>
      </c>
      <c r="D175">
        <v>1752.2682633333334</v>
      </c>
      <c r="E175">
        <v>2071.5452104874157</v>
      </c>
      <c r="F175">
        <v>2191.2178466761902</v>
      </c>
      <c r="G175">
        <v>2278.0480811666671</v>
      </c>
      <c r="H175">
        <v>1939.025100111111</v>
      </c>
      <c r="I175" t="s">
        <v>58</v>
      </c>
    </row>
    <row r="176" spans="1:9" x14ac:dyDescent="0.35">
      <c r="A176" t="s">
        <v>59</v>
      </c>
      <c r="B176" t="s">
        <v>10</v>
      </c>
      <c r="C176">
        <v>237.39283071428574</v>
      </c>
      <c r="D176">
        <v>231.66666666666666</v>
      </c>
      <c r="E176">
        <v>239.1904761904762</v>
      </c>
      <c r="F176">
        <v>280.28966019999996</v>
      </c>
      <c r="G176">
        <v>257.5</v>
      </c>
      <c r="H176">
        <v>250.83333333333334</v>
      </c>
      <c r="I176" t="s">
        <v>60</v>
      </c>
    </row>
    <row r="177" spans="1:9" x14ac:dyDescent="0.35">
      <c r="A177" t="s">
        <v>59</v>
      </c>
      <c r="B177" t="s">
        <v>12</v>
      </c>
      <c r="C177">
        <v>5311.2876178571432</v>
      </c>
      <c r="D177">
        <v>6250</v>
      </c>
      <c r="E177">
        <v>5712.5</v>
      </c>
      <c r="F177">
        <v>6293.4381200000007</v>
      </c>
      <c r="G177">
        <v>5992.916666666667</v>
      </c>
      <c r="H177">
        <v>5900</v>
      </c>
      <c r="I177" t="s">
        <v>60</v>
      </c>
    </row>
    <row r="178" spans="1:9" x14ac:dyDescent="0.35">
      <c r="A178" t="s">
        <v>59</v>
      </c>
      <c r="B178" t="s">
        <v>13</v>
      </c>
      <c r="C178">
        <v>2580.8015296071426</v>
      </c>
      <c r="D178">
        <v>2434.8698172500003</v>
      </c>
      <c r="E178">
        <v>1836.714951660714</v>
      </c>
      <c r="F178">
        <v>2999.5864998833331</v>
      </c>
      <c r="G178">
        <v>2690.4450377333333</v>
      </c>
      <c r="H178">
        <v>2382.2157781249998</v>
      </c>
      <c r="I178" t="s">
        <v>60</v>
      </c>
    </row>
    <row r="179" spans="1:9" x14ac:dyDescent="0.35">
      <c r="A179" t="s">
        <v>59</v>
      </c>
      <c r="B179" t="s">
        <v>14</v>
      </c>
      <c r="C179">
        <v>2162.4802029404759</v>
      </c>
      <c r="D179">
        <v>1994.3279184166668</v>
      </c>
      <c r="E179">
        <v>1578.7085512921769</v>
      </c>
      <c r="F179">
        <v>2633.1405965595241</v>
      </c>
      <c r="G179">
        <v>2566.4797560773818</v>
      </c>
      <c r="H179">
        <v>1977.2817460317463</v>
      </c>
      <c r="I179" t="s">
        <v>60</v>
      </c>
    </row>
    <row r="180" spans="1:9" x14ac:dyDescent="0.35">
      <c r="A180" t="s">
        <v>59</v>
      </c>
      <c r="B180" t="s">
        <v>15</v>
      </c>
      <c r="C180">
        <v>5800.1340017857146</v>
      </c>
      <c r="D180">
        <v>5671.1111111111104</v>
      </c>
      <c r="E180">
        <v>5417.1428571428569</v>
      </c>
      <c r="F180">
        <v>7590.0523456361898</v>
      </c>
      <c r="G180">
        <v>6417.1633269513904</v>
      </c>
      <c r="H180">
        <v>6255.6967534166661</v>
      </c>
      <c r="I180" t="s">
        <v>60</v>
      </c>
    </row>
    <row r="181" spans="1:9" x14ac:dyDescent="0.35">
      <c r="A181" t="s">
        <v>59</v>
      </c>
      <c r="B181" t="s">
        <v>16</v>
      </c>
      <c r="C181">
        <v>1685.1633757142856</v>
      </c>
      <c r="D181">
        <v>1470.1826388888883</v>
      </c>
      <c r="E181">
        <v>1645.2857142857138</v>
      </c>
      <c r="F181">
        <v>1499.7777777777781</v>
      </c>
      <c r="G181">
        <v>1671.6666666666667</v>
      </c>
      <c r="H181">
        <v>1618.9814814814815</v>
      </c>
      <c r="I181" t="s">
        <v>60</v>
      </c>
    </row>
    <row r="182" spans="1:9" x14ac:dyDescent="0.35">
      <c r="A182" t="s">
        <v>59</v>
      </c>
      <c r="B182" t="s">
        <v>17</v>
      </c>
      <c r="C182">
        <v>1493.3049564285716</v>
      </c>
      <c r="D182">
        <v>1196.8745580833333</v>
      </c>
      <c r="E182">
        <v>1612.0271566088445</v>
      </c>
      <c r="F182">
        <v>1355.7206857000001</v>
      </c>
      <c r="G182">
        <v>1692.0138888888889</v>
      </c>
      <c r="H182">
        <v>1318.5185185185182</v>
      </c>
      <c r="I182" t="s">
        <v>60</v>
      </c>
    </row>
    <row r="183" spans="1:9" x14ac:dyDescent="0.35">
      <c r="A183" t="s">
        <v>59</v>
      </c>
      <c r="B183" t="s">
        <v>18</v>
      </c>
      <c r="C183">
        <v>1491.4285714285713</v>
      </c>
      <c r="D183">
        <v>1610</v>
      </c>
      <c r="E183">
        <v>1521.2869404047617</v>
      </c>
      <c r="F183">
        <v>2012.8975687999998</v>
      </c>
      <c r="G183">
        <v>2253.7878787499999</v>
      </c>
      <c r="H183">
        <v>1964.7916666666667</v>
      </c>
      <c r="I183" t="s">
        <v>60</v>
      </c>
    </row>
    <row r="184" spans="1:9" x14ac:dyDescent="0.35">
      <c r="A184" t="s">
        <v>59</v>
      </c>
      <c r="B184" t="s">
        <v>19</v>
      </c>
      <c r="C184">
        <v>6282.9826249523812</v>
      </c>
      <c r="D184">
        <v>5088.0952380833332</v>
      </c>
      <c r="E184">
        <v>4109.8214285714284</v>
      </c>
      <c r="F184">
        <v>5510.7806997999996</v>
      </c>
      <c r="G184">
        <v>5455.3931623125</v>
      </c>
      <c r="H184">
        <v>4971.6248506759266</v>
      </c>
      <c r="I184" t="s">
        <v>60</v>
      </c>
    </row>
    <row r="185" spans="1:9" x14ac:dyDescent="0.35">
      <c r="A185" t="s">
        <v>59</v>
      </c>
      <c r="B185" t="s">
        <v>20</v>
      </c>
      <c r="C185">
        <v>3582.5236246428572</v>
      </c>
      <c r="D185">
        <v>2791.6666666666665</v>
      </c>
      <c r="E185">
        <v>2329.6145833571431</v>
      </c>
      <c r="F185">
        <v>3146.5986943039998</v>
      </c>
      <c r="G185">
        <v>3767.1666666666665</v>
      </c>
      <c r="H185">
        <v>4232.2222222222217</v>
      </c>
      <c r="I185" t="s">
        <v>60</v>
      </c>
    </row>
    <row r="186" spans="1:9" x14ac:dyDescent="0.35">
      <c r="A186" t="s">
        <v>59</v>
      </c>
      <c r="B186" t="s">
        <v>21</v>
      </c>
      <c r="C186">
        <v>6071.7360012443241</v>
      </c>
      <c r="D186">
        <v>4550</v>
      </c>
      <c r="E186">
        <v>4400</v>
      </c>
      <c r="F186">
        <v>7440</v>
      </c>
      <c r="G186">
        <v>5381.333333333333</v>
      </c>
      <c r="H186">
        <v>5550</v>
      </c>
      <c r="I186" t="s">
        <v>60</v>
      </c>
    </row>
    <row r="187" spans="1:9" x14ac:dyDescent="0.35">
      <c r="A187" t="s">
        <v>59</v>
      </c>
      <c r="B187" t="s">
        <v>22</v>
      </c>
      <c r="C187">
        <v>4609.0393705498582</v>
      </c>
      <c r="D187">
        <v>3451.5416666666665</v>
      </c>
      <c r="E187">
        <v>3809.7077921428572</v>
      </c>
      <c r="F187">
        <v>4430.9237713640005</v>
      </c>
      <c r="G187">
        <v>4847.2222222222217</v>
      </c>
      <c r="H187">
        <v>4950.9259259166665</v>
      </c>
      <c r="I187" t="s">
        <v>60</v>
      </c>
    </row>
    <row r="188" spans="1:9" x14ac:dyDescent="0.35">
      <c r="A188" t="s">
        <v>59</v>
      </c>
      <c r="B188" t="s">
        <v>23</v>
      </c>
      <c r="C188">
        <v>6954.076357142857</v>
      </c>
      <c r="D188">
        <v>6705.5555555833334</v>
      </c>
      <c r="E188">
        <v>6730.1946002142859</v>
      </c>
      <c r="F188">
        <v>6078.9590934666603</v>
      </c>
      <c r="G188">
        <v>4683.333333333333</v>
      </c>
      <c r="H188">
        <v>5980.4135224583333</v>
      </c>
      <c r="I188" t="s">
        <v>60</v>
      </c>
    </row>
    <row r="189" spans="1:9" x14ac:dyDescent="0.35">
      <c r="A189" t="s">
        <v>59</v>
      </c>
      <c r="B189" t="s">
        <v>24</v>
      </c>
      <c r="C189">
        <v>7392.071889357142</v>
      </c>
      <c r="D189">
        <v>5408.1780168333335</v>
      </c>
      <c r="E189">
        <v>5263.5930736428572</v>
      </c>
      <c r="F189">
        <v>8147.9198292000001</v>
      </c>
      <c r="G189">
        <v>5575.8237134166666</v>
      </c>
      <c r="H189">
        <v>5275</v>
      </c>
      <c r="I189" t="s">
        <v>60</v>
      </c>
    </row>
    <row r="190" spans="1:9" x14ac:dyDescent="0.35">
      <c r="A190" t="s">
        <v>59</v>
      </c>
      <c r="B190" t="s">
        <v>25</v>
      </c>
      <c r="C190">
        <v>1212.7668316190479</v>
      </c>
      <c r="D190">
        <v>1336.2595670833334</v>
      </c>
      <c r="E190">
        <v>1499.0255479833343</v>
      </c>
      <c r="F190">
        <v>1291.211846038095</v>
      </c>
      <c r="G190">
        <v>1224.5129446000001</v>
      </c>
      <c r="H190">
        <v>1016.5416065396824</v>
      </c>
      <c r="I190" t="s">
        <v>60</v>
      </c>
    </row>
    <row r="191" spans="1:9" x14ac:dyDescent="0.35">
      <c r="A191" t="s">
        <v>59</v>
      </c>
      <c r="B191" t="s">
        <v>26</v>
      </c>
      <c r="C191">
        <v>1269.2062141857143</v>
      </c>
      <c r="D191">
        <v>1494.0327344999998</v>
      </c>
      <c r="E191">
        <v>1575.8767902821432</v>
      </c>
      <c r="F191">
        <v>1348.0026558634922</v>
      </c>
      <c r="G191">
        <v>1303.17884725</v>
      </c>
      <c r="H191">
        <v>1140.4329467499999</v>
      </c>
      <c r="I191" t="s">
        <v>60</v>
      </c>
    </row>
    <row r="192" spans="1:9" x14ac:dyDescent="0.35">
      <c r="A192" t="s">
        <v>59</v>
      </c>
      <c r="B192" t="s">
        <v>27</v>
      </c>
      <c r="C192">
        <v>4050.6996922142862</v>
      </c>
      <c r="D192">
        <v>3949.1666666666665</v>
      </c>
      <c r="E192">
        <v>3483.5714286190478</v>
      </c>
      <c r="F192">
        <v>4623.3370930000001</v>
      </c>
      <c r="G192">
        <v>4650</v>
      </c>
      <c r="H192">
        <v>4700</v>
      </c>
      <c r="I192" t="s">
        <v>60</v>
      </c>
    </row>
    <row r="193" spans="1:9" x14ac:dyDescent="0.35">
      <c r="A193" t="s">
        <v>59</v>
      </c>
      <c r="B193" t="s">
        <v>28</v>
      </c>
      <c r="C193">
        <v>5276.5291725714287</v>
      </c>
      <c r="D193">
        <v>5457.2586666666666</v>
      </c>
      <c r="E193">
        <v>5511.5207373809526</v>
      </c>
      <c r="F193">
        <v>7629.2408036000006</v>
      </c>
      <c r="G193">
        <v>7025.8782591249992</v>
      </c>
      <c r="H193">
        <v>6820.9754554097226</v>
      </c>
      <c r="I193" t="s">
        <v>60</v>
      </c>
    </row>
    <row r="194" spans="1:9" x14ac:dyDescent="0.35">
      <c r="A194" t="s">
        <v>59</v>
      </c>
      <c r="B194" t="s">
        <v>29</v>
      </c>
      <c r="C194">
        <v>2601.1971339285715</v>
      </c>
      <c r="D194">
        <v>2702.77777775</v>
      </c>
      <c r="E194">
        <v>2683.2814285952377</v>
      </c>
      <c r="F194">
        <v>2850.166291</v>
      </c>
      <c r="G194">
        <v>3498.6111111111113</v>
      </c>
      <c r="H194">
        <v>3386.6111111111109</v>
      </c>
      <c r="I194" t="s">
        <v>60</v>
      </c>
    </row>
    <row r="195" spans="1:9" x14ac:dyDescent="0.35">
      <c r="A195" t="s">
        <v>59</v>
      </c>
      <c r="B195" t="s">
        <v>30</v>
      </c>
      <c r="C195">
        <v>2328.2901622898571</v>
      </c>
      <c r="D195">
        <v>2150</v>
      </c>
      <c r="E195">
        <v>2191.6386554285714</v>
      </c>
      <c r="F195">
        <v>2660</v>
      </c>
      <c r="G195">
        <v>2761.6666666666665</v>
      </c>
      <c r="H195">
        <v>2322.9166666666665</v>
      </c>
      <c r="I195" t="s">
        <v>60</v>
      </c>
    </row>
    <row r="196" spans="1:9" x14ac:dyDescent="0.35">
      <c r="A196" t="s">
        <v>59</v>
      </c>
      <c r="B196" t="s">
        <v>31</v>
      </c>
      <c r="C196">
        <v>1714.857713641986</v>
      </c>
      <c r="D196">
        <v>1243.14516125</v>
      </c>
      <c r="E196">
        <v>1341.6481488035715</v>
      </c>
      <c r="F196">
        <v>2381.1662614499996</v>
      </c>
      <c r="G196">
        <v>2051.9654088333332</v>
      </c>
      <c r="H196">
        <v>2198.6111111111113</v>
      </c>
      <c r="I196" t="s">
        <v>60</v>
      </c>
    </row>
    <row r="197" spans="1:9" x14ac:dyDescent="0.35">
      <c r="A197" t="s">
        <v>59</v>
      </c>
      <c r="B197" t="s">
        <v>32</v>
      </c>
      <c r="C197">
        <v>3005.1256028555713</v>
      </c>
      <c r="D197">
        <v>1619.7363222499998</v>
      </c>
      <c r="E197">
        <v>1571.4035087023815</v>
      </c>
      <c r="F197">
        <v>2294.641268596667</v>
      </c>
      <c r="G197">
        <v>3157.6731600416665</v>
      </c>
      <c r="H197">
        <v>3438.061085095238</v>
      </c>
      <c r="I197" t="s">
        <v>60</v>
      </c>
    </row>
    <row r="198" spans="1:9" x14ac:dyDescent="0.35">
      <c r="A198" t="s">
        <v>59</v>
      </c>
      <c r="B198" t="s">
        <v>33</v>
      </c>
      <c r="C198">
        <v>7344.777166285714</v>
      </c>
      <c r="D198">
        <v>4919.1176470833334</v>
      </c>
      <c r="E198">
        <v>4486.1309523809532</v>
      </c>
      <c r="F198">
        <v>4463.4878857499989</v>
      </c>
      <c r="G198">
        <v>4768.2142857500003</v>
      </c>
      <c r="H198">
        <v>4350.1719576203704</v>
      </c>
      <c r="I198" t="s">
        <v>60</v>
      </c>
    </row>
    <row r="199" spans="1:9" x14ac:dyDescent="0.35">
      <c r="A199" t="s">
        <v>59</v>
      </c>
      <c r="B199" t="s">
        <v>34</v>
      </c>
      <c r="C199">
        <v>1017.4909984047619</v>
      </c>
      <c r="D199">
        <v>1052.0022724583332</v>
      </c>
      <c r="E199">
        <v>1003.7791467414962</v>
      </c>
      <c r="F199">
        <v>1433.6338558749999</v>
      </c>
      <c r="G199">
        <v>1387.8421900833334</v>
      </c>
      <c r="H199">
        <v>1212.0629852916666</v>
      </c>
      <c r="I199" t="s">
        <v>60</v>
      </c>
    </row>
    <row r="200" spans="1:9" x14ac:dyDescent="0.35">
      <c r="A200" t="s">
        <v>59</v>
      </c>
      <c r="B200" t="s">
        <v>35</v>
      </c>
      <c r="C200">
        <v>1210.5583224285713</v>
      </c>
      <c r="D200">
        <v>743.61111111111097</v>
      </c>
      <c r="E200">
        <v>1116.0421537559528</v>
      </c>
      <c r="F200">
        <v>1766.9644546446427</v>
      </c>
      <c r="G200">
        <v>2359.9305555555561</v>
      </c>
      <c r="H200">
        <v>1143.2870370277783</v>
      </c>
      <c r="I200" t="s">
        <v>60</v>
      </c>
    </row>
    <row r="201" spans="1:9" x14ac:dyDescent="0.35">
      <c r="A201" t="s">
        <v>59</v>
      </c>
      <c r="B201" t="s">
        <v>36</v>
      </c>
      <c r="C201">
        <v>2057.8403214285713</v>
      </c>
      <c r="D201">
        <v>1907.7777778055558</v>
      </c>
      <c r="E201">
        <v>2552.7824675571428</v>
      </c>
      <c r="F201">
        <v>2329.0871578555552</v>
      </c>
      <c r="G201">
        <v>2435.0694444166666</v>
      </c>
      <c r="H201">
        <v>2702.700854700855</v>
      </c>
      <c r="I201" t="s">
        <v>60</v>
      </c>
    </row>
    <row r="202" spans="1:9" x14ac:dyDescent="0.35">
      <c r="A202" t="s">
        <v>59</v>
      </c>
      <c r="B202" t="s">
        <v>37</v>
      </c>
      <c r="C202">
        <v>1961.8723898214287</v>
      </c>
      <c r="D202">
        <v>1799.2261904999998</v>
      </c>
      <c r="E202">
        <v>1716.0689865476186</v>
      </c>
      <c r="F202">
        <v>2020.136701166668</v>
      </c>
      <c r="G202">
        <v>1992.3482528472223</v>
      </c>
      <c r="H202">
        <v>1802.872875024759</v>
      </c>
      <c r="I202" t="s">
        <v>60</v>
      </c>
    </row>
    <row r="203" spans="1:9" x14ac:dyDescent="0.35">
      <c r="A203" t="s">
        <v>59</v>
      </c>
      <c r="B203" t="s">
        <v>38</v>
      </c>
      <c r="C203">
        <v>2296.9955735714284</v>
      </c>
      <c r="D203">
        <v>2104.4934639999997</v>
      </c>
      <c r="E203">
        <v>1910.565934</v>
      </c>
      <c r="F203">
        <v>2180.1741927452381</v>
      </c>
      <c r="G203">
        <v>2342.5269274702387</v>
      </c>
      <c r="H203">
        <v>1894.9377528981483</v>
      </c>
      <c r="I203" t="s">
        <v>60</v>
      </c>
    </row>
    <row r="204" spans="1:9" x14ac:dyDescent="0.35">
      <c r="A204" t="s">
        <v>59</v>
      </c>
      <c r="B204" t="s">
        <v>39</v>
      </c>
      <c r="C204">
        <v>2079.8736384476192</v>
      </c>
      <c r="D204">
        <v>1952.3110684583332</v>
      </c>
      <c r="E204">
        <v>2038.7620540602034</v>
      </c>
      <c r="F204">
        <v>1971.713390633334</v>
      </c>
      <c r="G204">
        <v>2271.3275613611113</v>
      </c>
      <c r="H204">
        <v>2080.8451451611113</v>
      </c>
      <c r="I204" t="s">
        <v>60</v>
      </c>
    </row>
    <row r="205" spans="1:9" x14ac:dyDescent="0.35">
      <c r="A205" t="s">
        <v>59</v>
      </c>
      <c r="B205" t="s">
        <v>40</v>
      </c>
      <c r="C205">
        <v>2532.2107080714291</v>
      </c>
      <c r="D205">
        <v>2241.3407833333335</v>
      </c>
      <c r="E205">
        <v>2678.3922907976184</v>
      </c>
      <c r="F205">
        <v>2497.2365051729998</v>
      </c>
      <c r="G205">
        <v>2626.5800866249997</v>
      </c>
      <c r="H205">
        <v>2422.4681714166668</v>
      </c>
      <c r="I205" t="s">
        <v>60</v>
      </c>
    </row>
    <row r="206" spans="1:9" x14ac:dyDescent="0.35">
      <c r="A206" t="s">
        <v>59</v>
      </c>
      <c r="B206" t="s">
        <v>41</v>
      </c>
      <c r="C206">
        <v>2118.1241110714286</v>
      </c>
      <c r="D206">
        <v>2091.6666666666665</v>
      </c>
      <c r="E206">
        <v>1771.4285714285713</v>
      </c>
      <c r="F206">
        <v>2365.2683059000001</v>
      </c>
      <c r="G206">
        <v>2252.0833333333335</v>
      </c>
      <c r="H206">
        <v>1924.7222222222224</v>
      </c>
      <c r="I206" t="s">
        <v>60</v>
      </c>
    </row>
    <row r="207" spans="1:9" x14ac:dyDescent="0.35">
      <c r="A207" t="s">
        <v>59</v>
      </c>
      <c r="B207" t="s">
        <v>42</v>
      </c>
      <c r="C207">
        <v>5704.2512871500003</v>
      </c>
      <c r="D207">
        <v>5433.333333333333</v>
      </c>
      <c r="E207">
        <v>4161.7589292619041</v>
      </c>
      <c r="F207">
        <v>5513.4867135266668</v>
      </c>
      <c r="G207">
        <v>6190.4840068333333</v>
      </c>
      <c r="H207">
        <v>5618.3333333500004</v>
      </c>
      <c r="I207" t="s">
        <v>60</v>
      </c>
    </row>
    <row r="208" spans="1:9" x14ac:dyDescent="0.35">
      <c r="A208" t="s">
        <v>59</v>
      </c>
      <c r="B208" t="s">
        <v>43</v>
      </c>
      <c r="C208">
        <v>723.00397778571426</v>
      </c>
      <c r="D208">
        <v>796.30718949999994</v>
      </c>
      <c r="E208">
        <v>676.73432742551017</v>
      </c>
      <c r="F208">
        <v>830.22466787619055</v>
      </c>
      <c r="G208">
        <v>1500.5392967361115</v>
      </c>
      <c r="H208">
        <v>635.44935567063487</v>
      </c>
      <c r="I208" t="s">
        <v>60</v>
      </c>
    </row>
    <row r="209" spans="1:9" x14ac:dyDescent="0.35">
      <c r="A209" t="s">
        <v>59</v>
      </c>
      <c r="B209" t="s">
        <v>44</v>
      </c>
      <c r="C209">
        <v>5851.9741879541425</v>
      </c>
      <c r="D209">
        <v>4900</v>
      </c>
      <c r="E209">
        <v>4627.4436089999999</v>
      </c>
      <c r="F209">
        <v>5121.731769</v>
      </c>
      <c r="G209">
        <v>4805</v>
      </c>
      <c r="H209">
        <v>5037.3091083571426</v>
      </c>
      <c r="I209" t="s">
        <v>60</v>
      </c>
    </row>
    <row r="210" spans="1:9" x14ac:dyDescent="0.35">
      <c r="A210" t="s">
        <v>59</v>
      </c>
      <c r="B210" t="s">
        <v>45</v>
      </c>
      <c r="C210">
        <v>899.83705528571431</v>
      </c>
      <c r="D210">
        <v>950</v>
      </c>
      <c r="E210">
        <v>856.42857142857144</v>
      </c>
      <c r="F210">
        <v>1030</v>
      </c>
      <c r="G210">
        <v>943.75</v>
      </c>
      <c r="H210">
        <v>921.61680911680924</v>
      </c>
      <c r="I210" t="s">
        <v>60</v>
      </c>
    </row>
    <row r="211" spans="1:9" x14ac:dyDescent="0.35">
      <c r="A211" t="s">
        <v>59</v>
      </c>
      <c r="B211" t="s">
        <v>46</v>
      </c>
      <c r="C211">
        <v>768.7847549999999</v>
      </c>
      <c r="D211">
        <v>856.66666666666663</v>
      </c>
      <c r="E211">
        <v>805.71428571428567</v>
      </c>
      <c r="F211">
        <v>816</v>
      </c>
      <c r="G211">
        <v>970</v>
      </c>
      <c r="H211">
        <v>819.35185185185185</v>
      </c>
      <c r="I211" t="s">
        <v>60</v>
      </c>
    </row>
    <row r="212" spans="1:9" x14ac:dyDescent="0.35">
      <c r="A212" t="s">
        <v>59</v>
      </c>
      <c r="B212" t="s">
        <v>47</v>
      </c>
      <c r="C212">
        <v>6647.7869222142845</v>
      </c>
      <c r="D212">
        <v>4825.5555555000001</v>
      </c>
      <c r="E212">
        <v>5878.0952380892859</v>
      </c>
      <c r="F212">
        <v>5187.1887535333344</v>
      </c>
      <c r="G212">
        <v>5248.5069443055545</v>
      </c>
      <c r="H212">
        <v>4704.344310403133</v>
      </c>
      <c r="I212" t="s">
        <v>60</v>
      </c>
    </row>
    <row r="213" spans="1:9" x14ac:dyDescent="0.35">
      <c r="A213" t="s">
        <v>59</v>
      </c>
      <c r="B213" t="s">
        <v>48</v>
      </c>
      <c r="C213">
        <v>952.30473457142864</v>
      </c>
      <c r="D213">
        <v>768.33333333333337</v>
      </c>
      <c r="E213">
        <v>790.45975332584942</v>
      </c>
      <c r="F213">
        <v>1611.5437920809522</v>
      </c>
      <c r="G213">
        <v>1208.33730159127</v>
      </c>
      <c r="H213">
        <v>1316.0256409861115</v>
      </c>
      <c r="I213" t="s">
        <v>60</v>
      </c>
    </row>
    <row r="214" spans="1:9" x14ac:dyDescent="0.35">
      <c r="A214" t="s">
        <v>59</v>
      </c>
      <c r="B214" t="s">
        <v>49</v>
      </c>
      <c r="C214">
        <v>2731.4177263095198</v>
      </c>
      <c r="D214">
        <v>2617.5925924999997</v>
      </c>
      <c r="E214">
        <v>2625.3571428571427</v>
      </c>
      <c r="F214">
        <v>2846.7723060666667</v>
      </c>
      <c r="G214">
        <v>3500</v>
      </c>
      <c r="H214">
        <v>3612.2916666111109</v>
      </c>
      <c r="I214" t="s">
        <v>60</v>
      </c>
    </row>
    <row r="215" spans="1:9" x14ac:dyDescent="0.35">
      <c r="A215" t="s">
        <v>59</v>
      </c>
      <c r="B215" t="s">
        <v>50</v>
      </c>
      <c r="C215">
        <v>1686.8699330714285</v>
      </c>
      <c r="D215">
        <v>1650</v>
      </c>
      <c r="E215">
        <v>1396.4047619107143</v>
      </c>
      <c r="F215">
        <v>2369.3556247000001</v>
      </c>
      <c r="G215">
        <v>2362.75</v>
      </c>
      <c r="H215">
        <v>1829.1666666666667</v>
      </c>
      <c r="I215" t="s">
        <v>60</v>
      </c>
    </row>
    <row r="216" spans="1:9" x14ac:dyDescent="0.35">
      <c r="A216" t="s">
        <v>59</v>
      </c>
      <c r="B216" t="s">
        <v>51</v>
      </c>
      <c r="C216">
        <v>3541.1573698498569</v>
      </c>
      <c r="D216">
        <v>3829.0270833333329</v>
      </c>
      <c r="E216">
        <v>3735.7142857142858</v>
      </c>
      <c r="F216">
        <v>5072.2318762733339</v>
      </c>
      <c r="G216">
        <v>3796.875</v>
      </c>
      <c r="H216">
        <v>3382.9761904761908</v>
      </c>
      <c r="I216" t="s">
        <v>60</v>
      </c>
    </row>
    <row r="217" spans="1:9" x14ac:dyDescent="0.35">
      <c r="A217" t="s">
        <v>59</v>
      </c>
      <c r="B217" t="s">
        <v>52</v>
      </c>
      <c r="C217">
        <v>1885.1125</v>
      </c>
      <c r="D217">
        <v>1704.4404558333335</v>
      </c>
      <c r="E217">
        <v>2043.0226889704088</v>
      </c>
      <c r="F217">
        <v>2140.4569150507941</v>
      </c>
      <c r="G217">
        <v>2248.6472462500001</v>
      </c>
      <c r="H217">
        <v>1960.2417749722226</v>
      </c>
      <c r="I217" t="s">
        <v>60</v>
      </c>
    </row>
    <row r="218" spans="1:9" x14ac:dyDescent="0.35">
      <c r="A218" t="s">
        <v>61</v>
      </c>
      <c r="B218" t="s">
        <v>10</v>
      </c>
      <c r="C218">
        <v>255.85216486810845</v>
      </c>
      <c r="D218">
        <v>279.36753444999999</v>
      </c>
      <c r="E218">
        <v>249.03635328881677</v>
      </c>
      <c r="F218">
        <v>312.8573458723987</v>
      </c>
      <c r="G218">
        <v>276.80006018917345</v>
      </c>
      <c r="H218">
        <v>263.83333333333331</v>
      </c>
      <c r="I218" t="s">
        <v>62</v>
      </c>
    </row>
    <row r="219" spans="1:9" x14ac:dyDescent="0.35">
      <c r="A219" t="s">
        <v>61</v>
      </c>
      <c r="B219" t="s">
        <v>12</v>
      </c>
      <c r="C219">
        <v>5859.1897007548396</v>
      </c>
      <c r="D219">
        <v>5920</v>
      </c>
      <c r="E219">
        <v>5668.4516960542269</v>
      </c>
      <c r="F219">
        <v>7567.2660393536225</v>
      </c>
      <c r="G219">
        <v>6339.0399526094143</v>
      </c>
      <c r="H219">
        <v>6800.7847111513502</v>
      </c>
      <c r="I219" t="s">
        <v>62</v>
      </c>
    </row>
    <row r="220" spans="1:9" x14ac:dyDescent="0.35">
      <c r="A220" t="s">
        <v>61</v>
      </c>
      <c r="B220" t="s">
        <v>13</v>
      </c>
      <c r="C220">
        <v>2597.6013659498726</v>
      </c>
      <c r="D220">
        <v>2124.2222222222222</v>
      </c>
      <c r="E220">
        <v>1744.5032748628798</v>
      </c>
      <c r="F220">
        <v>3149.5018260338716</v>
      </c>
      <c r="G220">
        <v>2229.7554724275683</v>
      </c>
      <c r="H220">
        <v>2257.7852226934347</v>
      </c>
      <c r="I220" t="s">
        <v>62</v>
      </c>
    </row>
    <row r="221" spans="1:9" x14ac:dyDescent="0.35">
      <c r="A221" t="s">
        <v>61</v>
      </c>
      <c r="B221" t="s">
        <v>14</v>
      </c>
      <c r="C221">
        <v>2058.3466210067709</v>
      </c>
      <c r="D221">
        <v>2000</v>
      </c>
      <c r="E221">
        <v>1623.1822685529876</v>
      </c>
      <c r="F221">
        <v>2747.5511919765595</v>
      </c>
      <c r="G221">
        <v>2028.6616391267551</v>
      </c>
      <c r="H221">
        <v>1849.1939202978347</v>
      </c>
      <c r="I221" t="s">
        <v>62</v>
      </c>
    </row>
    <row r="222" spans="1:9" x14ac:dyDescent="0.35">
      <c r="A222" t="s">
        <v>61</v>
      </c>
      <c r="B222" t="s">
        <v>15</v>
      </c>
      <c r="C222">
        <v>6392.7206141063662</v>
      </c>
      <c r="D222">
        <v>7208.333333333333</v>
      </c>
      <c r="E222">
        <v>5625.3008705302773</v>
      </c>
      <c r="F222">
        <v>8765.606549615175</v>
      </c>
      <c r="G222">
        <v>7103.9321221363343</v>
      </c>
      <c r="H222">
        <v>6488.7127933599504</v>
      </c>
      <c r="I222" t="s">
        <v>62</v>
      </c>
    </row>
    <row r="223" spans="1:9" x14ac:dyDescent="0.35">
      <c r="A223" t="s">
        <v>61</v>
      </c>
      <c r="B223" t="s">
        <v>16</v>
      </c>
      <c r="C223">
        <v>1753.5816076658689</v>
      </c>
      <c r="D223">
        <v>1462.5</v>
      </c>
      <c r="E223">
        <v>1710.6553809761906</v>
      </c>
      <c r="F223">
        <v>1684.8889916462945</v>
      </c>
      <c r="G223">
        <v>1674.1666666666667</v>
      </c>
      <c r="H223">
        <v>1665.8333333333333</v>
      </c>
      <c r="I223" t="s">
        <v>62</v>
      </c>
    </row>
    <row r="224" spans="1:9" x14ac:dyDescent="0.35">
      <c r="A224" t="s">
        <v>61</v>
      </c>
      <c r="B224" t="s">
        <v>17</v>
      </c>
      <c r="C224">
        <v>1662.6951063941283</v>
      </c>
      <c r="D224">
        <v>1327.3163177777778</v>
      </c>
      <c r="E224">
        <v>1760.4590414340666</v>
      </c>
      <c r="F224">
        <v>1561.258939225399</v>
      </c>
      <c r="G224">
        <v>1705.6957136944432</v>
      </c>
      <c r="H224">
        <v>1401.5178388888883</v>
      </c>
      <c r="I224" t="s">
        <v>62</v>
      </c>
    </row>
    <row r="225" spans="1:9" x14ac:dyDescent="0.35">
      <c r="A225" t="s">
        <v>61</v>
      </c>
      <c r="B225" t="s">
        <v>18</v>
      </c>
      <c r="C225">
        <v>1602.962288677413</v>
      </c>
      <c r="D225">
        <v>1475</v>
      </c>
      <c r="E225">
        <v>1542.7380775833897</v>
      </c>
      <c r="F225">
        <v>2499.6296614017856</v>
      </c>
      <c r="G225">
        <v>2380.574334134893</v>
      </c>
      <c r="H225">
        <v>2188.6006392599415</v>
      </c>
      <c r="I225" t="s">
        <v>62</v>
      </c>
    </row>
    <row r="226" spans="1:9" x14ac:dyDescent="0.35">
      <c r="A226" t="s">
        <v>61</v>
      </c>
      <c r="B226" t="s">
        <v>19</v>
      </c>
      <c r="C226">
        <v>6875.4000515277248</v>
      </c>
      <c r="D226">
        <v>5175</v>
      </c>
      <c r="E226">
        <v>4656.9276377106089</v>
      </c>
      <c r="F226">
        <v>6573.8966338237078</v>
      </c>
      <c r="G226">
        <v>5942.4219392050036</v>
      </c>
      <c r="H226">
        <v>5585.9508853296347</v>
      </c>
      <c r="I226" t="s">
        <v>62</v>
      </c>
    </row>
    <row r="227" spans="1:9" x14ac:dyDescent="0.35">
      <c r="A227" t="s">
        <v>61</v>
      </c>
      <c r="B227" t="s">
        <v>20</v>
      </c>
      <c r="C227">
        <v>4189.5703362414224</v>
      </c>
      <c r="D227">
        <v>2362.5</v>
      </c>
      <c r="E227">
        <v>2587.8935747825158</v>
      </c>
      <c r="F227">
        <v>3658.5518562624734</v>
      </c>
      <c r="G227">
        <v>4104.4989184441156</v>
      </c>
      <c r="H227">
        <v>4769.4128064094393</v>
      </c>
      <c r="I227" t="s">
        <v>62</v>
      </c>
    </row>
    <row r="228" spans="1:9" x14ac:dyDescent="0.35">
      <c r="A228" t="s">
        <v>61</v>
      </c>
      <c r="B228" t="s">
        <v>21</v>
      </c>
      <c r="C228">
        <v>6324.850928646867</v>
      </c>
      <c r="D228">
        <v>4904.5</v>
      </c>
      <c r="E228">
        <v>4952.2607822765467</v>
      </c>
      <c r="F228">
        <v>7881.0854608283644</v>
      </c>
      <c r="G228">
        <v>5676.2947167710299</v>
      </c>
      <c r="H228">
        <v>5707.166666666667</v>
      </c>
      <c r="I228" t="s">
        <v>62</v>
      </c>
    </row>
    <row r="229" spans="1:9" x14ac:dyDescent="0.35">
      <c r="A229" t="s">
        <v>61</v>
      </c>
      <c r="B229" t="s">
        <v>22</v>
      </c>
      <c r="C229">
        <v>5142.5593205982314</v>
      </c>
      <c r="D229">
        <v>3675</v>
      </c>
      <c r="E229">
        <v>4343.5200953187741</v>
      </c>
      <c r="F229">
        <v>5172.8479658818915</v>
      </c>
      <c r="G229">
        <v>5295.9360659728018</v>
      </c>
      <c r="H229">
        <v>5475.6006440013289</v>
      </c>
      <c r="I229" t="s">
        <v>62</v>
      </c>
    </row>
    <row r="230" spans="1:9" x14ac:dyDescent="0.35">
      <c r="A230" t="s">
        <v>61</v>
      </c>
      <c r="B230" t="s">
        <v>23</v>
      </c>
      <c r="C230">
        <v>8759.6468807874971</v>
      </c>
      <c r="D230">
        <v>9291.6666666666661</v>
      </c>
      <c r="E230">
        <v>9178.4744224987644</v>
      </c>
      <c r="F230">
        <v>8467.7854761247399</v>
      </c>
      <c r="G230">
        <v>8271.0190638593667</v>
      </c>
      <c r="H230">
        <v>12300.588467678064</v>
      </c>
      <c r="I230" t="s">
        <v>62</v>
      </c>
    </row>
    <row r="231" spans="1:9" x14ac:dyDescent="0.35">
      <c r="A231" t="s">
        <v>61</v>
      </c>
      <c r="B231" t="s">
        <v>24</v>
      </c>
      <c r="C231">
        <v>7757.924849285565</v>
      </c>
      <c r="D231">
        <v>6208.333333333333</v>
      </c>
      <c r="E231">
        <v>5907.3891708391238</v>
      </c>
      <c r="F231">
        <v>9700.1297866840396</v>
      </c>
      <c r="G231">
        <v>6435.5568388953425</v>
      </c>
      <c r="H231">
        <v>6946.4908454121796</v>
      </c>
      <c r="I231" t="s">
        <v>62</v>
      </c>
    </row>
    <row r="232" spans="1:9" x14ac:dyDescent="0.35">
      <c r="A232" t="s">
        <v>61</v>
      </c>
      <c r="B232" t="s">
        <v>25</v>
      </c>
      <c r="C232">
        <v>1331.8767119568827</v>
      </c>
      <c r="D232">
        <v>1233.3333333333333</v>
      </c>
      <c r="E232">
        <v>1296.3442805630634</v>
      </c>
      <c r="F232">
        <v>1453.4107843293179</v>
      </c>
      <c r="G232">
        <v>1136.4609016801485</v>
      </c>
      <c r="H232">
        <v>1114.3691646562568</v>
      </c>
      <c r="I232" t="s">
        <v>62</v>
      </c>
    </row>
    <row r="233" spans="1:9" x14ac:dyDescent="0.35">
      <c r="A233" t="s">
        <v>61</v>
      </c>
      <c r="B233" t="s">
        <v>26</v>
      </c>
      <c r="C233">
        <v>1423.9061301775835</v>
      </c>
      <c r="D233">
        <v>1308.3333333333333</v>
      </c>
      <c r="E233">
        <v>1350.6538751729872</v>
      </c>
      <c r="F233">
        <v>1592.2130609328574</v>
      </c>
      <c r="G233">
        <v>1193.3944053255084</v>
      </c>
      <c r="H233">
        <v>1312.9405110577734</v>
      </c>
      <c r="I233" t="s">
        <v>62</v>
      </c>
    </row>
    <row r="234" spans="1:9" x14ac:dyDescent="0.35">
      <c r="A234" t="s">
        <v>61</v>
      </c>
      <c r="B234" t="s">
        <v>27</v>
      </c>
      <c r="C234">
        <v>5503.9659365065409</v>
      </c>
      <c r="D234">
        <v>4708.333333333333</v>
      </c>
      <c r="E234">
        <v>5510.6825243659887</v>
      </c>
      <c r="F234">
        <v>6008.0169364044086</v>
      </c>
      <c r="G234">
        <v>5660.7837880517618</v>
      </c>
      <c r="H234">
        <v>6674.1898764246662</v>
      </c>
      <c r="I234" t="s">
        <v>62</v>
      </c>
    </row>
    <row r="235" spans="1:9" x14ac:dyDescent="0.35">
      <c r="A235" t="s">
        <v>61</v>
      </c>
      <c r="B235" t="s">
        <v>28</v>
      </c>
      <c r="C235">
        <v>5769.9125381123831</v>
      </c>
      <c r="D235">
        <v>6016.666666666667</v>
      </c>
      <c r="E235">
        <v>6150.5026919973607</v>
      </c>
      <c r="F235">
        <v>8934.9931008241801</v>
      </c>
      <c r="G235">
        <v>7455.2639240351973</v>
      </c>
      <c r="H235">
        <v>7239.8299160592542</v>
      </c>
      <c r="I235" t="s">
        <v>62</v>
      </c>
    </row>
    <row r="236" spans="1:9" x14ac:dyDescent="0.35">
      <c r="A236" t="s">
        <v>61</v>
      </c>
      <c r="B236" t="s">
        <v>29</v>
      </c>
      <c r="C236">
        <v>2961.8202830645891</v>
      </c>
      <c r="D236">
        <v>3158.3333333333335</v>
      </c>
      <c r="E236">
        <v>3066.7711500981873</v>
      </c>
      <c r="F236">
        <v>3427.2766802452088</v>
      </c>
      <c r="G236">
        <v>3800.0604071890666</v>
      </c>
      <c r="H236">
        <v>3407.2696287062668</v>
      </c>
      <c r="I236" t="s">
        <v>62</v>
      </c>
    </row>
    <row r="237" spans="1:9" x14ac:dyDescent="0.35">
      <c r="A237" t="s">
        <v>61</v>
      </c>
      <c r="B237" t="s">
        <v>30</v>
      </c>
      <c r="C237">
        <v>2385.9903513911013</v>
      </c>
      <c r="D237">
        <v>2341.6666666666665</v>
      </c>
      <c r="E237">
        <v>2659.9186956358112</v>
      </c>
      <c r="F237">
        <v>3054.8284554297743</v>
      </c>
      <c r="G237">
        <v>2618.0995158781379</v>
      </c>
      <c r="H237">
        <v>2869.7605580952386</v>
      </c>
      <c r="I237" t="s">
        <v>62</v>
      </c>
    </row>
    <row r="238" spans="1:9" x14ac:dyDescent="0.35">
      <c r="A238" t="s">
        <v>61</v>
      </c>
      <c r="B238" t="s">
        <v>31</v>
      </c>
      <c r="C238">
        <v>1886.3087762201917</v>
      </c>
      <c r="D238">
        <v>1949.1666666666667</v>
      </c>
      <c r="E238">
        <v>1441.4385382835785</v>
      </c>
      <c r="F238">
        <v>2688.4076493338193</v>
      </c>
      <c r="G238">
        <v>2335.6804213795408</v>
      </c>
      <c r="H238">
        <v>2129.7673474056951</v>
      </c>
      <c r="I238" t="s">
        <v>62</v>
      </c>
    </row>
    <row r="239" spans="1:9" x14ac:dyDescent="0.35">
      <c r="A239" t="s">
        <v>61</v>
      </c>
      <c r="B239" t="s">
        <v>32</v>
      </c>
      <c r="C239">
        <v>2874.1838639558168</v>
      </c>
      <c r="D239">
        <v>1935.2739221622198</v>
      </c>
      <c r="E239">
        <v>1968.177490544809</v>
      </c>
      <c r="F239">
        <v>2338.9153673630381</v>
      </c>
      <c r="G239">
        <v>3276.9479464000547</v>
      </c>
      <c r="H239">
        <v>3136.56137166485</v>
      </c>
      <c r="I239" t="s">
        <v>62</v>
      </c>
    </row>
    <row r="240" spans="1:9" x14ac:dyDescent="0.35">
      <c r="A240" t="s">
        <v>61</v>
      </c>
      <c r="B240" t="s">
        <v>33</v>
      </c>
      <c r="C240">
        <v>7633.3664996204907</v>
      </c>
      <c r="D240">
        <v>5691.833333333333</v>
      </c>
      <c r="E240">
        <v>4585.2627659840018</v>
      </c>
      <c r="F240">
        <v>5861.0180057882326</v>
      </c>
      <c r="G240">
        <v>5242.0258830589346</v>
      </c>
      <c r="H240">
        <v>4961.6566747055449</v>
      </c>
      <c r="I240" t="s">
        <v>62</v>
      </c>
    </row>
    <row r="241" spans="1:9" x14ac:dyDescent="0.35">
      <c r="A241" t="s">
        <v>61</v>
      </c>
      <c r="B241" t="s">
        <v>34</v>
      </c>
      <c r="C241">
        <v>1061.4372040506425</v>
      </c>
      <c r="D241">
        <v>1067.0469754335102</v>
      </c>
      <c r="E241">
        <v>951.54232565156246</v>
      </c>
      <c r="F241">
        <v>1569.7412711633401</v>
      </c>
      <c r="G241">
        <v>1406.0226037280861</v>
      </c>
      <c r="H241">
        <v>1065.655703444093</v>
      </c>
      <c r="I241" t="s">
        <v>62</v>
      </c>
    </row>
    <row r="242" spans="1:9" x14ac:dyDescent="0.35">
      <c r="A242" t="s">
        <v>61</v>
      </c>
      <c r="B242" t="s">
        <v>35</v>
      </c>
      <c r="C242">
        <v>1306.5912621988771</v>
      </c>
      <c r="D242">
        <v>1341.6666666666667</v>
      </c>
      <c r="E242">
        <v>1180.2034876484643</v>
      </c>
      <c r="F242">
        <v>2114.5172237437487</v>
      </c>
      <c r="G242">
        <v>1807.6547970539602</v>
      </c>
      <c r="H242">
        <v>1676.3352296007167</v>
      </c>
      <c r="I242" t="s">
        <v>62</v>
      </c>
    </row>
    <row r="243" spans="1:9" x14ac:dyDescent="0.35">
      <c r="A243" t="s">
        <v>61</v>
      </c>
      <c r="B243" t="s">
        <v>36</v>
      </c>
      <c r="C243">
        <v>2358.4715768672099</v>
      </c>
      <c r="D243">
        <v>2258.3333333333335</v>
      </c>
      <c r="E243">
        <v>2616.4674242160404</v>
      </c>
      <c r="F243">
        <v>2925.5142128538246</v>
      </c>
      <c r="G243">
        <v>2487.8367527437072</v>
      </c>
      <c r="H243">
        <v>2758.6249565764952</v>
      </c>
      <c r="I243" t="s">
        <v>62</v>
      </c>
    </row>
    <row r="244" spans="1:9" x14ac:dyDescent="0.35">
      <c r="A244" t="s">
        <v>61</v>
      </c>
      <c r="B244" t="s">
        <v>37</v>
      </c>
      <c r="C244">
        <v>2258.5761971970796</v>
      </c>
      <c r="D244">
        <v>1880</v>
      </c>
      <c r="E244">
        <v>1971.3355504978281</v>
      </c>
      <c r="F244">
        <v>2409.9102166807947</v>
      </c>
      <c r="G244">
        <v>2133.0938799403189</v>
      </c>
      <c r="H244">
        <v>2224.2039197471436</v>
      </c>
      <c r="I244" t="s">
        <v>62</v>
      </c>
    </row>
    <row r="245" spans="1:9" x14ac:dyDescent="0.35">
      <c r="A245" t="s">
        <v>61</v>
      </c>
      <c r="B245" t="s">
        <v>38</v>
      </c>
      <c r="C245">
        <v>2465.5051570691762</v>
      </c>
      <c r="D245">
        <v>2448</v>
      </c>
      <c r="E245">
        <v>2087.9426594409642</v>
      </c>
      <c r="F245">
        <v>2580.5888328266642</v>
      </c>
      <c r="G245">
        <v>2179.6727048137818</v>
      </c>
      <c r="H245">
        <v>2247.4154750333769</v>
      </c>
      <c r="I245" t="s">
        <v>62</v>
      </c>
    </row>
    <row r="246" spans="1:9" x14ac:dyDescent="0.35">
      <c r="A246" t="s">
        <v>61</v>
      </c>
      <c r="B246" t="s">
        <v>39</v>
      </c>
      <c r="C246">
        <v>2136.1305762850411</v>
      </c>
      <c r="D246">
        <v>1923.1745177873681</v>
      </c>
      <c r="E246">
        <v>2118.8684269842238</v>
      </c>
      <c r="F246">
        <v>2257.346578421395</v>
      </c>
      <c r="G246">
        <v>1917.6343488916791</v>
      </c>
      <c r="H246">
        <v>2042.3639064420565</v>
      </c>
      <c r="I246" t="s">
        <v>62</v>
      </c>
    </row>
    <row r="247" spans="1:9" x14ac:dyDescent="0.35">
      <c r="A247" t="s">
        <v>61</v>
      </c>
      <c r="B247" t="s">
        <v>40</v>
      </c>
      <c r="C247">
        <v>2701.4724971220176</v>
      </c>
      <c r="D247">
        <v>2514.6192927618172</v>
      </c>
      <c r="E247">
        <v>2516.6144822219985</v>
      </c>
      <c r="F247">
        <v>2693.6385380159322</v>
      </c>
      <c r="G247">
        <v>3097.35857752934</v>
      </c>
      <c r="H247">
        <v>2349.2633031896548</v>
      </c>
      <c r="I247" t="s">
        <v>62</v>
      </c>
    </row>
    <row r="248" spans="1:9" x14ac:dyDescent="0.35">
      <c r="A248" t="s">
        <v>61</v>
      </c>
      <c r="B248" t="s">
        <v>41</v>
      </c>
      <c r="C248">
        <v>2253.8288389490322</v>
      </c>
      <c r="D248">
        <v>2360</v>
      </c>
      <c r="E248">
        <v>2122.6909710884347</v>
      </c>
      <c r="F248">
        <v>2527.6847744574916</v>
      </c>
      <c r="G248">
        <v>2618.1732601966792</v>
      </c>
      <c r="H248">
        <v>2173.8309887931719</v>
      </c>
      <c r="I248" t="s">
        <v>62</v>
      </c>
    </row>
    <row r="249" spans="1:9" x14ac:dyDescent="0.35">
      <c r="A249" t="s">
        <v>61</v>
      </c>
      <c r="B249" t="s">
        <v>42</v>
      </c>
      <c r="C249">
        <v>6293.7631616058425</v>
      </c>
      <c r="D249">
        <v>6350</v>
      </c>
      <c r="E249">
        <v>4902.7340950545831</v>
      </c>
      <c r="F249">
        <v>7103.0184134827477</v>
      </c>
      <c r="G249">
        <v>7035.8164343889266</v>
      </c>
      <c r="H249">
        <v>6590.5396209179826</v>
      </c>
      <c r="I249" t="s">
        <v>62</v>
      </c>
    </row>
    <row r="250" spans="1:9" x14ac:dyDescent="0.35">
      <c r="A250" t="s">
        <v>61</v>
      </c>
      <c r="B250" t="s">
        <v>43</v>
      </c>
      <c r="C250">
        <v>843.46350466693207</v>
      </c>
      <c r="D250">
        <v>850.83333333333337</v>
      </c>
      <c r="E250">
        <v>851.70169368692564</v>
      </c>
      <c r="F250">
        <v>1001.4006727323998</v>
      </c>
      <c r="G250">
        <v>1533.1598634727168</v>
      </c>
      <c r="H250">
        <v>1297.1380462016712</v>
      </c>
      <c r="I250" t="s">
        <v>62</v>
      </c>
    </row>
    <row r="251" spans="1:9" x14ac:dyDescent="0.35">
      <c r="A251" t="s">
        <v>61</v>
      </c>
      <c r="B251" t="s">
        <v>44</v>
      </c>
      <c r="C251">
        <v>6610.0979729381706</v>
      </c>
      <c r="D251">
        <v>5025</v>
      </c>
      <c r="E251">
        <v>4889.7884635364517</v>
      </c>
      <c r="F251">
        <v>5900.5800962300418</v>
      </c>
      <c r="G251">
        <v>5927.1920819489496</v>
      </c>
      <c r="H251">
        <v>6035.3268679563917</v>
      </c>
      <c r="I251" t="s">
        <v>62</v>
      </c>
    </row>
    <row r="252" spans="1:9" x14ac:dyDescent="0.35">
      <c r="A252" t="s">
        <v>61</v>
      </c>
      <c r="B252" t="s">
        <v>45</v>
      </c>
      <c r="C252">
        <v>1044.8587797750151</v>
      </c>
      <c r="D252">
        <v>937.5</v>
      </c>
      <c r="E252">
        <v>909.14680793736807</v>
      </c>
      <c r="F252">
        <v>1169.2873883377722</v>
      </c>
      <c r="G252">
        <v>1099.4094374120368</v>
      </c>
      <c r="H252">
        <v>1089.0619512284768</v>
      </c>
      <c r="I252" t="s">
        <v>62</v>
      </c>
    </row>
    <row r="253" spans="1:9" x14ac:dyDescent="0.35">
      <c r="A253" t="s">
        <v>61</v>
      </c>
      <c r="B253" t="s">
        <v>46</v>
      </c>
      <c r="C253">
        <v>848.78488635957206</v>
      </c>
      <c r="D253">
        <v>925.83333333333337</v>
      </c>
      <c r="E253">
        <v>867.64366394021806</v>
      </c>
      <c r="F253">
        <v>941.10697352970476</v>
      </c>
      <c r="G253">
        <v>1021.0434776396984</v>
      </c>
      <c r="H253">
        <v>960.87934692370163</v>
      </c>
      <c r="I253" t="s">
        <v>62</v>
      </c>
    </row>
    <row r="254" spans="1:9" x14ac:dyDescent="0.35">
      <c r="A254" t="s">
        <v>61</v>
      </c>
      <c r="B254" t="s">
        <v>47</v>
      </c>
      <c r="C254">
        <v>7050.6142504895824</v>
      </c>
      <c r="D254">
        <v>5466.666666666667</v>
      </c>
      <c r="E254">
        <v>6571.4905510855579</v>
      </c>
      <c r="F254">
        <v>6505.0087084687202</v>
      </c>
      <c r="G254">
        <v>5981.9943931923253</v>
      </c>
      <c r="H254">
        <v>5911.9886236407101</v>
      </c>
      <c r="I254" t="s">
        <v>62</v>
      </c>
    </row>
    <row r="255" spans="1:9" x14ac:dyDescent="0.35">
      <c r="A255" t="s">
        <v>61</v>
      </c>
      <c r="B255" t="s">
        <v>48</v>
      </c>
      <c r="C255">
        <v>1156.120168775486</v>
      </c>
      <c r="D255">
        <v>1121.6666666666667</v>
      </c>
      <c r="E255">
        <v>1021.1071779913385</v>
      </c>
      <c r="F255">
        <v>1980.8366273279116</v>
      </c>
      <c r="G255">
        <v>1522.5770968787699</v>
      </c>
      <c r="H255">
        <v>1600.2680141309436</v>
      </c>
      <c r="I255" t="s">
        <v>62</v>
      </c>
    </row>
    <row r="256" spans="1:9" x14ac:dyDescent="0.35">
      <c r="A256" t="s">
        <v>61</v>
      </c>
      <c r="B256" t="s">
        <v>49</v>
      </c>
      <c r="C256">
        <v>3164.6332715177546</v>
      </c>
      <c r="D256">
        <v>3147.5</v>
      </c>
      <c r="E256">
        <v>3217.9235295918375</v>
      </c>
      <c r="F256">
        <v>3760.4134168308556</v>
      </c>
      <c r="G256">
        <v>3776.9256737181331</v>
      </c>
      <c r="H256">
        <v>3459.7684329166045</v>
      </c>
      <c r="I256" t="s">
        <v>62</v>
      </c>
    </row>
    <row r="257" spans="1:9" x14ac:dyDescent="0.35">
      <c r="A257" t="s">
        <v>61</v>
      </c>
      <c r="B257" t="s">
        <v>50</v>
      </c>
      <c r="C257">
        <v>1912.0277860843837</v>
      </c>
      <c r="D257">
        <v>1688.3333333333333</v>
      </c>
      <c r="E257">
        <v>1561.5596773861048</v>
      </c>
      <c r="F257">
        <v>2719.4942226482772</v>
      </c>
      <c r="G257">
        <v>2486.231258797025</v>
      </c>
      <c r="H257">
        <v>2334.9931862698418</v>
      </c>
      <c r="I257" t="s">
        <v>62</v>
      </c>
    </row>
    <row r="258" spans="1:9" x14ac:dyDescent="0.35">
      <c r="A258" t="s">
        <v>61</v>
      </c>
      <c r="B258" t="s">
        <v>51</v>
      </c>
      <c r="C258">
        <v>3991.0551964895617</v>
      </c>
      <c r="D258">
        <v>3924.6318333170166</v>
      </c>
      <c r="E258">
        <v>3978.9566658285935</v>
      </c>
      <c r="F258">
        <v>5921.5790317739784</v>
      </c>
      <c r="G258">
        <v>3898.1517063050001</v>
      </c>
      <c r="H258">
        <v>3807.7484529966619</v>
      </c>
      <c r="I258" t="s">
        <v>62</v>
      </c>
    </row>
    <row r="259" spans="1:9" x14ac:dyDescent="0.35">
      <c r="A259" t="s">
        <v>61</v>
      </c>
      <c r="B259" t="s">
        <v>52</v>
      </c>
      <c r="C259">
        <v>2100.6599261091874</v>
      </c>
      <c r="D259">
        <v>2447.4718113333333</v>
      </c>
      <c r="E259">
        <v>2143.7092665973382</v>
      </c>
      <c r="F259">
        <v>2752.2425084031775</v>
      </c>
      <c r="G259">
        <v>3290.0840058376848</v>
      </c>
      <c r="H259">
        <v>2337.6420301712437</v>
      </c>
      <c r="I259" t="s">
        <v>62</v>
      </c>
    </row>
    <row r="260" spans="1:9" x14ac:dyDescent="0.35">
      <c r="A260" t="s">
        <v>61</v>
      </c>
      <c r="I260" t="s">
        <v>62</v>
      </c>
    </row>
    <row r="261" spans="1:9" x14ac:dyDescent="0.35">
      <c r="A261" t="s">
        <v>61</v>
      </c>
      <c r="I261" t="s">
        <v>62</v>
      </c>
    </row>
    <row r="262" spans="1:9" x14ac:dyDescent="0.35">
      <c r="A262" t="s">
        <v>63</v>
      </c>
      <c r="B262" t="s">
        <v>10</v>
      </c>
      <c r="C262">
        <v>255.34223631478253</v>
      </c>
      <c r="D262">
        <v>263.70833333333331</v>
      </c>
      <c r="E262">
        <v>249.64600013340552</v>
      </c>
      <c r="F262">
        <v>310.45891768448001</v>
      </c>
      <c r="G262">
        <v>274.37168688361834</v>
      </c>
      <c r="H262">
        <v>267.53311825396827</v>
      </c>
      <c r="I262" t="s">
        <v>64</v>
      </c>
    </row>
    <row r="263" spans="1:9" x14ac:dyDescent="0.35">
      <c r="A263" t="s">
        <v>63</v>
      </c>
      <c r="B263" t="s">
        <v>12</v>
      </c>
      <c r="C263">
        <v>5855.1940335868412</v>
      </c>
      <c r="D263">
        <v>6441.666666666667</v>
      </c>
      <c r="E263">
        <v>5661.1641973433079</v>
      </c>
      <c r="F263">
        <v>7552.9901697321229</v>
      </c>
      <c r="G263">
        <v>6360.3018770052704</v>
      </c>
      <c r="H263">
        <v>6481.8666666666659</v>
      </c>
      <c r="I263" t="s">
        <v>64</v>
      </c>
    </row>
    <row r="264" spans="1:9" x14ac:dyDescent="0.35">
      <c r="A264" t="s">
        <v>63</v>
      </c>
      <c r="B264" t="s">
        <v>13</v>
      </c>
      <c r="C264">
        <v>2593.9637541506891</v>
      </c>
      <c r="D264">
        <v>2174.2222222222222</v>
      </c>
      <c r="E264">
        <v>1745.0148453234171</v>
      </c>
      <c r="F264">
        <v>3165.7850293156216</v>
      </c>
      <c r="G264">
        <v>2216.8097878841231</v>
      </c>
      <c r="H264">
        <v>2215.29875892769</v>
      </c>
      <c r="I264" t="s">
        <v>64</v>
      </c>
    </row>
    <row r="265" spans="1:9" x14ac:dyDescent="0.35">
      <c r="A265" t="s">
        <v>63</v>
      </c>
      <c r="B265" t="s">
        <v>14</v>
      </c>
      <c r="C265">
        <v>2058.8977891593963</v>
      </c>
      <c r="D265">
        <v>2069.3589743589741</v>
      </c>
      <c r="E265">
        <v>1623.2535599501389</v>
      </c>
      <c r="F265">
        <v>2715.8434873025885</v>
      </c>
      <c r="G265">
        <v>2049.0577459792912</v>
      </c>
      <c r="H265">
        <v>1841.3393360604139</v>
      </c>
      <c r="I265" t="s">
        <v>64</v>
      </c>
    </row>
    <row r="266" spans="1:9" x14ac:dyDescent="0.35">
      <c r="A266" t="s">
        <v>63</v>
      </c>
      <c r="B266" t="s">
        <v>15</v>
      </c>
      <c r="C266">
        <v>6387.0440322445547</v>
      </c>
      <c r="D266">
        <v>7148.020833333333</v>
      </c>
      <c r="E266">
        <v>5717.3801370858137</v>
      </c>
      <c r="F266">
        <v>8678.1399108889982</v>
      </c>
      <c r="G266">
        <v>6996.6494559208259</v>
      </c>
      <c r="H266">
        <v>6490.3105144331566</v>
      </c>
      <c r="I266" t="s">
        <v>64</v>
      </c>
    </row>
    <row r="267" spans="1:9" x14ac:dyDescent="0.35">
      <c r="A267" t="s">
        <v>63</v>
      </c>
      <c r="B267" t="s">
        <v>16</v>
      </c>
      <c r="C267">
        <v>1749.7318302474755</v>
      </c>
      <c r="D267">
        <v>1454.1666666666667</v>
      </c>
      <c r="E267">
        <v>1699.3342655051906</v>
      </c>
      <c r="F267">
        <v>1679.5955238947076</v>
      </c>
      <c r="G267">
        <v>1662.5</v>
      </c>
      <c r="H267">
        <v>1643.3333333333333</v>
      </c>
      <c r="I267" t="s">
        <v>64</v>
      </c>
    </row>
    <row r="268" spans="1:9" x14ac:dyDescent="0.35">
      <c r="A268" t="s">
        <v>63</v>
      </c>
      <c r="B268" t="s">
        <v>17</v>
      </c>
      <c r="C268">
        <v>1658.9336634767114</v>
      </c>
      <c r="D268">
        <v>1315.45</v>
      </c>
      <c r="E268">
        <v>1746.6967796534384</v>
      </c>
      <c r="F268">
        <v>1560.7239909661689</v>
      </c>
      <c r="G268">
        <v>1698.2824514722222</v>
      </c>
      <c r="H268">
        <v>1393.7817460317456</v>
      </c>
      <c r="I268" t="s">
        <v>64</v>
      </c>
    </row>
    <row r="269" spans="1:9" x14ac:dyDescent="0.35">
      <c r="A269" t="s">
        <v>63</v>
      </c>
      <c r="B269" t="s">
        <v>18</v>
      </c>
      <c r="C269">
        <v>1599.5342712729193</v>
      </c>
      <c r="D269">
        <v>1500.1074166666667</v>
      </c>
      <c r="E269">
        <v>1542.9748653810714</v>
      </c>
      <c r="F269">
        <v>2487.478273383957</v>
      </c>
      <c r="G269">
        <v>2299.8401113733848</v>
      </c>
      <c r="H269">
        <v>2163.6711602306591</v>
      </c>
      <c r="I269" t="s">
        <v>64</v>
      </c>
    </row>
    <row r="270" spans="1:9" x14ac:dyDescent="0.35">
      <c r="A270" t="s">
        <v>63</v>
      </c>
      <c r="B270" t="s">
        <v>19</v>
      </c>
      <c r="C270">
        <v>6860.2647844502062</v>
      </c>
      <c r="D270">
        <v>5150</v>
      </c>
      <c r="E270">
        <v>4714.6851353216052</v>
      </c>
      <c r="F270">
        <v>6419.8045753283795</v>
      </c>
      <c r="G270">
        <v>5871.5222496176148</v>
      </c>
      <c r="H270">
        <v>5547.427528110592</v>
      </c>
      <c r="I270" t="s">
        <v>64</v>
      </c>
    </row>
    <row r="271" spans="1:9" x14ac:dyDescent="0.35">
      <c r="A271" t="s">
        <v>63</v>
      </c>
      <c r="B271" t="s">
        <v>20</v>
      </c>
      <c r="C271">
        <v>4177.2038533292352</v>
      </c>
      <c r="D271">
        <v>2341.6666666666665</v>
      </c>
      <c r="E271">
        <v>2605.5748917678707</v>
      </c>
      <c r="F271">
        <v>3631.9089713579169</v>
      </c>
      <c r="G271">
        <v>4057.3530148884961</v>
      </c>
      <c r="H271">
        <v>4715.1604548374917</v>
      </c>
      <c r="I271" t="s">
        <v>64</v>
      </c>
    </row>
    <row r="272" spans="1:9" x14ac:dyDescent="0.35">
      <c r="A272" t="s">
        <v>63</v>
      </c>
      <c r="B272" t="s">
        <v>21</v>
      </c>
      <c r="C272">
        <v>6318.5474632417872</v>
      </c>
      <c r="D272">
        <v>4904.5</v>
      </c>
      <c r="E272">
        <v>4928.6211117861258</v>
      </c>
      <c r="F272">
        <v>7863.2830489423995</v>
      </c>
      <c r="G272">
        <v>5711.5913511481886</v>
      </c>
      <c r="H272">
        <v>5680</v>
      </c>
      <c r="I272" t="s">
        <v>64</v>
      </c>
    </row>
    <row r="273" spans="1:9" x14ac:dyDescent="0.35">
      <c r="A273" t="s">
        <v>63</v>
      </c>
      <c r="B273" t="s">
        <v>22</v>
      </c>
      <c r="C273">
        <v>5140.2451600503873</v>
      </c>
      <c r="D273">
        <v>3666.6666666666665</v>
      </c>
      <c r="E273">
        <v>4447.7773393017942</v>
      </c>
      <c r="F273">
        <v>5155.7539557780628</v>
      </c>
      <c r="G273">
        <v>5240.1715196500118</v>
      </c>
      <c r="H273">
        <v>5456.4417513845137</v>
      </c>
      <c r="I273" t="s">
        <v>64</v>
      </c>
    </row>
    <row r="274" spans="1:9" x14ac:dyDescent="0.35">
      <c r="A274" t="s">
        <v>63</v>
      </c>
      <c r="B274" t="s">
        <v>23</v>
      </c>
      <c r="C274">
        <v>8420.4124139663945</v>
      </c>
      <c r="D274">
        <v>9166.6666666666661</v>
      </c>
      <c r="E274">
        <v>8480.4727071332873</v>
      </c>
      <c r="F274">
        <v>8273.465708215781</v>
      </c>
      <c r="G274">
        <v>7579.8788743576742</v>
      </c>
      <c r="H274">
        <v>10619.343319642494</v>
      </c>
      <c r="I274" t="s">
        <v>64</v>
      </c>
    </row>
    <row r="275" spans="1:9" x14ac:dyDescent="0.35">
      <c r="A275" t="s">
        <v>63</v>
      </c>
      <c r="B275" t="s">
        <v>24</v>
      </c>
      <c r="C275">
        <v>7750.7336173130379</v>
      </c>
      <c r="D275">
        <v>6096.666666666667</v>
      </c>
      <c r="E275">
        <v>5962.2970634493931</v>
      </c>
      <c r="F275">
        <v>9628.1500737263195</v>
      </c>
      <c r="G275">
        <v>6398.3179189358752</v>
      </c>
      <c r="H275">
        <v>6798.6640346481727</v>
      </c>
      <c r="I275" t="s">
        <v>64</v>
      </c>
    </row>
    <row r="276" spans="1:9" x14ac:dyDescent="0.35">
      <c r="A276" t="s">
        <v>63</v>
      </c>
      <c r="B276" t="s">
        <v>25</v>
      </c>
      <c r="C276">
        <v>1361.5968698342524</v>
      </c>
      <c r="D276">
        <v>1328.937607963695</v>
      </c>
      <c r="E276">
        <v>1334.3023672057586</v>
      </c>
      <c r="F276">
        <v>1451.6999058081569</v>
      </c>
      <c r="G276">
        <v>1181.4017665017334</v>
      </c>
      <c r="H276">
        <v>1140.2181040956505</v>
      </c>
      <c r="I276" t="s">
        <v>64</v>
      </c>
    </row>
    <row r="277" spans="1:9" x14ac:dyDescent="0.35">
      <c r="A277" t="s">
        <v>63</v>
      </c>
      <c r="B277" t="s">
        <v>26</v>
      </c>
      <c r="C277">
        <v>1422.9625096460866</v>
      </c>
      <c r="D277">
        <v>1470.6793967880924</v>
      </c>
      <c r="E277">
        <v>1362.0853276704754</v>
      </c>
      <c r="F277">
        <v>1586.5060481097978</v>
      </c>
      <c r="G277">
        <v>1226.1647283534182</v>
      </c>
      <c r="H277">
        <v>1344.9526757605638</v>
      </c>
      <c r="I277" t="s">
        <v>64</v>
      </c>
    </row>
    <row r="278" spans="1:9" x14ac:dyDescent="0.35">
      <c r="A278" t="s">
        <v>63</v>
      </c>
      <c r="B278" t="s">
        <v>27</v>
      </c>
      <c r="C278">
        <v>5484.8506458621259</v>
      </c>
      <c r="D278">
        <v>4650</v>
      </c>
      <c r="E278">
        <v>5595.5956201262879</v>
      </c>
      <c r="F278">
        <v>5901.8167280035213</v>
      </c>
      <c r="G278">
        <v>5588.3368595812508</v>
      </c>
      <c r="H278">
        <v>6565.0839021199199</v>
      </c>
      <c r="I278" t="s">
        <v>64</v>
      </c>
    </row>
    <row r="279" spans="1:9" x14ac:dyDescent="0.35">
      <c r="A279" t="s">
        <v>63</v>
      </c>
      <c r="B279" t="s">
        <v>28</v>
      </c>
      <c r="C279">
        <v>5764.804417565073</v>
      </c>
      <c r="D279">
        <v>6025</v>
      </c>
      <c r="E279">
        <v>6094.703689441254</v>
      </c>
      <c r="F279">
        <v>8822.5764723982084</v>
      </c>
      <c r="G279">
        <v>7395.5052366552927</v>
      </c>
      <c r="H279">
        <v>7198.1131708732501</v>
      </c>
      <c r="I279" t="s">
        <v>64</v>
      </c>
    </row>
    <row r="280" spans="1:9" x14ac:dyDescent="0.35">
      <c r="A280" t="s">
        <v>63</v>
      </c>
      <c r="B280" t="s">
        <v>29</v>
      </c>
      <c r="C280">
        <v>2955.8328200314413</v>
      </c>
      <c r="D280">
        <v>3185.7787083333333</v>
      </c>
      <c r="E280">
        <v>3088.0071017236874</v>
      </c>
      <c r="F280">
        <v>3266.2213343903718</v>
      </c>
      <c r="G280">
        <v>3773.3133124999999</v>
      </c>
      <c r="H280">
        <v>3492.2798615079359</v>
      </c>
      <c r="I280" t="s">
        <v>64</v>
      </c>
    </row>
    <row r="281" spans="1:9" x14ac:dyDescent="0.35">
      <c r="A281" t="s">
        <v>63</v>
      </c>
      <c r="B281" t="s">
        <v>30</v>
      </c>
      <c r="C281">
        <v>2381.0407047628391</v>
      </c>
      <c r="D281">
        <v>2342.5213749999998</v>
      </c>
      <c r="E281">
        <v>2747.2527359339024</v>
      </c>
      <c r="F281">
        <v>3039.9391120613341</v>
      </c>
      <c r="G281">
        <v>2643.4622167080233</v>
      </c>
      <c r="H281">
        <v>2754.6742785714282</v>
      </c>
      <c r="I281" t="s">
        <v>64</v>
      </c>
    </row>
    <row r="282" spans="1:9" x14ac:dyDescent="0.35">
      <c r="A282" t="s">
        <v>63</v>
      </c>
      <c r="B282" t="s">
        <v>31</v>
      </c>
      <c r="C282">
        <v>1882.619150650987</v>
      </c>
      <c r="D282">
        <v>1971.6666666666667</v>
      </c>
      <c r="E282">
        <v>1464.2377153489415</v>
      </c>
      <c r="F282">
        <v>2685.542817421865</v>
      </c>
      <c r="G282">
        <v>2296.544718767836</v>
      </c>
      <c r="H282">
        <v>2205.8125456041457</v>
      </c>
      <c r="I282" t="s">
        <v>64</v>
      </c>
    </row>
    <row r="283" spans="1:9" x14ac:dyDescent="0.35">
      <c r="A283" t="s">
        <v>63</v>
      </c>
      <c r="B283" t="s">
        <v>32</v>
      </c>
      <c r="C283">
        <v>2868.0846671829522</v>
      </c>
      <c r="D283">
        <v>1971.6947113956478</v>
      </c>
      <c r="E283">
        <v>1952.9587456745078</v>
      </c>
      <c r="F283">
        <v>2331.884811912108</v>
      </c>
      <c r="G283">
        <v>3259.5754013694918</v>
      </c>
      <c r="H283">
        <v>3109.8947049981848</v>
      </c>
      <c r="I283" t="s">
        <v>64</v>
      </c>
    </row>
    <row r="284" spans="1:9" x14ac:dyDescent="0.35">
      <c r="A284" t="s">
        <v>63</v>
      </c>
      <c r="B284" t="s">
        <v>33</v>
      </c>
      <c r="C284">
        <v>7626.3445931608712</v>
      </c>
      <c r="D284">
        <v>5666.833333333333</v>
      </c>
      <c r="E284">
        <v>4440.6113191789227</v>
      </c>
      <c r="F284">
        <v>5484.4084910457304</v>
      </c>
      <c r="G284">
        <v>5145.340744752687</v>
      </c>
      <c r="H284">
        <v>4809.0450155882309</v>
      </c>
      <c r="I284" t="s">
        <v>64</v>
      </c>
    </row>
    <row r="285" spans="1:9" x14ac:dyDescent="0.35">
      <c r="A285" t="s">
        <v>63</v>
      </c>
      <c r="B285" t="s">
        <v>34</v>
      </c>
      <c r="C285">
        <v>1059.038590173868</v>
      </c>
      <c r="D285">
        <v>1115.5742358609039</v>
      </c>
      <c r="E285">
        <v>998.70599201245057</v>
      </c>
      <c r="F285">
        <v>1573.1971202783284</v>
      </c>
      <c r="G285">
        <v>1435.0923177442401</v>
      </c>
      <c r="H285">
        <v>1065.9242633734748</v>
      </c>
      <c r="I285" t="s">
        <v>64</v>
      </c>
    </row>
    <row r="286" spans="1:9" x14ac:dyDescent="0.35">
      <c r="A286" t="s">
        <v>63</v>
      </c>
      <c r="B286" t="s">
        <v>35</v>
      </c>
      <c r="C286">
        <v>1305.0656866240577</v>
      </c>
      <c r="D286">
        <v>1358.6666666666667</v>
      </c>
      <c r="E286">
        <v>1214.334471739194</v>
      </c>
      <c r="F286">
        <v>2120.8118802055519</v>
      </c>
      <c r="G286">
        <v>1911.2379602529616</v>
      </c>
      <c r="H286">
        <v>1637.4029591134886</v>
      </c>
      <c r="I286" t="s">
        <v>64</v>
      </c>
    </row>
    <row r="287" spans="1:9" x14ac:dyDescent="0.35">
      <c r="A287" t="s">
        <v>63</v>
      </c>
      <c r="B287" t="s">
        <v>36</v>
      </c>
      <c r="C287">
        <v>2353.8388175577165</v>
      </c>
      <c r="D287">
        <v>2241.1444444444446</v>
      </c>
      <c r="E287">
        <v>2657.7429174694671</v>
      </c>
      <c r="F287">
        <v>2764.2638722602865</v>
      </c>
      <c r="G287">
        <v>2475.8583035997108</v>
      </c>
      <c r="H287">
        <v>2605.7575615079363</v>
      </c>
      <c r="I287" t="s">
        <v>64</v>
      </c>
    </row>
    <row r="288" spans="1:9" x14ac:dyDescent="0.35">
      <c r="A288" t="s">
        <v>63</v>
      </c>
      <c r="B288" t="s">
        <v>37</v>
      </c>
      <c r="C288">
        <v>2254.0082025146708</v>
      </c>
      <c r="D288">
        <v>1896.6666666666667</v>
      </c>
      <c r="E288">
        <v>1939.8315064857384</v>
      </c>
      <c r="F288">
        <v>2363.6807880451065</v>
      </c>
      <c r="G288">
        <v>2134.5730093752018</v>
      </c>
      <c r="H288">
        <v>2115.810926927245</v>
      </c>
      <c r="I288" t="s">
        <v>64</v>
      </c>
    </row>
    <row r="289" spans="1:9" x14ac:dyDescent="0.35">
      <c r="A289" t="s">
        <v>63</v>
      </c>
      <c r="B289" t="s">
        <v>38</v>
      </c>
      <c r="C289">
        <v>2460.5505224738217</v>
      </c>
      <c r="D289">
        <v>2421.3333333333335</v>
      </c>
      <c r="E289">
        <v>2041.7678815316156</v>
      </c>
      <c r="F289">
        <v>2571.7406377925327</v>
      </c>
      <c r="G289">
        <v>2230.1858471412334</v>
      </c>
      <c r="H289">
        <v>2170.6590113835914</v>
      </c>
      <c r="I289" t="s">
        <v>64</v>
      </c>
    </row>
    <row r="290" spans="1:9" x14ac:dyDescent="0.35">
      <c r="A290" t="s">
        <v>63</v>
      </c>
      <c r="B290" t="s">
        <v>39</v>
      </c>
      <c r="C290">
        <v>2131.5113790503115</v>
      </c>
      <c r="D290">
        <v>1954.8411844540349</v>
      </c>
      <c r="E290">
        <v>2183.1020245079526</v>
      </c>
      <c r="F290">
        <v>2251.1204778370566</v>
      </c>
      <c r="G290">
        <v>1948.7507701509646</v>
      </c>
      <c r="H290">
        <v>2038.318678457181</v>
      </c>
      <c r="I290" t="s">
        <v>64</v>
      </c>
    </row>
    <row r="291" spans="1:9" x14ac:dyDescent="0.35">
      <c r="A291" t="s">
        <v>63</v>
      </c>
      <c r="B291" t="s">
        <v>40</v>
      </c>
      <c r="C291">
        <v>2695.7025172144918</v>
      </c>
      <c r="D291">
        <v>2519.1854939177333</v>
      </c>
      <c r="E291">
        <v>2562.4627207840854</v>
      </c>
      <c r="F291">
        <v>2691.2404303505255</v>
      </c>
      <c r="G291">
        <v>2979.3416570011536</v>
      </c>
      <c r="H291">
        <v>2328.5917054153692</v>
      </c>
      <c r="I291" t="s">
        <v>64</v>
      </c>
    </row>
    <row r="292" spans="1:9" x14ac:dyDescent="0.35">
      <c r="A292" t="s">
        <v>63</v>
      </c>
      <c r="B292" t="s">
        <v>41</v>
      </c>
      <c r="C292">
        <v>2248.690409388701</v>
      </c>
      <c r="D292">
        <v>2366.6666666666665</v>
      </c>
      <c r="E292">
        <v>2093.3515140646255</v>
      </c>
      <c r="F292">
        <v>2510.7564243999996</v>
      </c>
      <c r="G292">
        <v>2594.7762500000003</v>
      </c>
      <c r="H292">
        <v>2134.934920634922</v>
      </c>
      <c r="I292" t="s">
        <v>64</v>
      </c>
    </row>
    <row r="293" spans="1:9" x14ac:dyDescent="0.35">
      <c r="A293" t="s">
        <v>63</v>
      </c>
      <c r="B293" t="s">
        <v>42</v>
      </c>
      <c r="C293">
        <v>6289.6414011432507</v>
      </c>
      <c r="D293">
        <v>6316.666666666667</v>
      </c>
      <c r="E293">
        <v>4810.4444339749343</v>
      </c>
      <c r="F293">
        <v>6947.7311591277366</v>
      </c>
      <c r="G293">
        <v>6801.3813664984691</v>
      </c>
      <c r="H293">
        <v>6557.3501371854773</v>
      </c>
      <c r="I293" t="s">
        <v>64</v>
      </c>
    </row>
    <row r="294" spans="1:9" x14ac:dyDescent="0.35">
      <c r="A294" t="s">
        <v>63</v>
      </c>
      <c r="B294" t="s">
        <v>43</v>
      </c>
      <c r="C294">
        <v>835.05981600014832</v>
      </c>
      <c r="D294">
        <v>886.66666666666663</v>
      </c>
      <c r="E294">
        <v>867.76359725167856</v>
      </c>
      <c r="F294">
        <v>995.92003637873927</v>
      </c>
      <c r="G294">
        <v>1536.3496024494725</v>
      </c>
      <c r="H294">
        <v>1169.6070055670339</v>
      </c>
      <c r="I294" t="s">
        <v>64</v>
      </c>
    </row>
    <row r="295" spans="1:9" x14ac:dyDescent="0.35">
      <c r="A295" t="s">
        <v>63</v>
      </c>
      <c r="B295" t="s">
        <v>44</v>
      </c>
      <c r="C295">
        <v>6606.1366881874765</v>
      </c>
      <c r="D295">
        <v>5006.9819819819822</v>
      </c>
      <c r="E295">
        <v>5081.8506201387363</v>
      </c>
      <c r="F295">
        <v>5809.6923835513335</v>
      </c>
      <c r="G295">
        <v>5796.9252140407661</v>
      </c>
      <c r="H295">
        <v>6010.6782684661275</v>
      </c>
      <c r="I295" t="s">
        <v>64</v>
      </c>
    </row>
    <row r="296" spans="1:9" x14ac:dyDescent="0.35">
      <c r="A296" t="s">
        <v>63</v>
      </c>
      <c r="B296" t="s">
        <v>45</v>
      </c>
      <c r="C296">
        <v>1042.7927194168321</v>
      </c>
      <c r="D296">
        <v>938.99166666666667</v>
      </c>
      <c r="E296">
        <v>914.45611044508416</v>
      </c>
      <c r="F296">
        <v>1166.4636376658332</v>
      </c>
      <c r="G296">
        <v>1089.8299999999992</v>
      </c>
      <c r="H296">
        <v>1056.7612301587303</v>
      </c>
      <c r="I296" t="s">
        <v>64</v>
      </c>
    </row>
    <row r="297" spans="1:9" x14ac:dyDescent="0.35">
      <c r="A297" t="s">
        <v>63</v>
      </c>
      <c r="B297" t="s">
        <v>46</v>
      </c>
      <c r="C297">
        <v>843.72813430210169</v>
      </c>
      <c r="D297">
        <v>919.17916666666667</v>
      </c>
      <c r="E297">
        <v>875.42840277616881</v>
      </c>
      <c r="F297">
        <v>939.89322092430848</v>
      </c>
      <c r="G297">
        <v>975.612003939445</v>
      </c>
      <c r="H297">
        <v>928.44976984126981</v>
      </c>
      <c r="I297" t="s">
        <v>64</v>
      </c>
    </row>
    <row r="298" spans="1:9" x14ac:dyDescent="0.35">
      <c r="A298" t="s">
        <v>63</v>
      </c>
      <c r="B298" t="s">
        <v>47</v>
      </c>
      <c r="C298">
        <v>7044.3613548623189</v>
      </c>
      <c r="D298">
        <v>5483.7058333333334</v>
      </c>
      <c r="E298">
        <v>6770.1642700475104</v>
      </c>
      <c r="F298">
        <v>6187.8279061800913</v>
      </c>
      <c r="G298">
        <v>5899.247619575669</v>
      </c>
      <c r="H298">
        <v>5815.6082401641461</v>
      </c>
      <c r="I298" t="s">
        <v>64</v>
      </c>
    </row>
    <row r="299" spans="1:9" x14ac:dyDescent="0.35">
      <c r="A299" t="s">
        <v>63</v>
      </c>
      <c r="B299" t="s">
        <v>48</v>
      </c>
      <c r="C299">
        <v>1155.8529471425604</v>
      </c>
      <c r="D299">
        <v>1191.6666666666667</v>
      </c>
      <c r="E299">
        <v>1057.4766766485757</v>
      </c>
      <c r="F299">
        <v>1976.011818381417</v>
      </c>
      <c r="G299">
        <v>1526.2240237905942</v>
      </c>
      <c r="H299">
        <v>1654.3022569292091</v>
      </c>
      <c r="I299" t="s">
        <v>64</v>
      </c>
    </row>
    <row r="300" spans="1:9" x14ac:dyDescent="0.35">
      <c r="A300" t="s">
        <v>63</v>
      </c>
      <c r="B300" t="s">
        <v>49</v>
      </c>
      <c r="C300">
        <v>3158.5585709281986</v>
      </c>
      <c r="D300">
        <v>3136.25</v>
      </c>
      <c r="E300">
        <v>3245.8692573696148</v>
      </c>
      <c r="F300">
        <v>3691.5412278320996</v>
      </c>
      <c r="G300">
        <v>3750.9264583333329</v>
      </c>
      <c r="H300">
        <v>3524.2121825396821</v>
      </c>
      <c r="I300" t="s">
        <v>64</v>
      </c>
    </row>
    <row r="301" spans="1:9" x14ac:dyDescent="0.35">
      <c r="A301" t="s">
        <v>63</v>
      </c>
      <c r="B301" t="s">
        <v>50</v>
      </c>
      <c r="C301">
        <v>1907.9838329991794</v>
      </c>
      <c r="D301">
        <v>1716.6666666666667</v>
      </c>
      <c r="E301">
        <v>1559.2446773861063</v>
      </c>
      <c r="F301">
        <v>2714.5311566162045</v>
      </c>
      <c r="G301">
        <v>2479.4343254602568</v>
      </c>
      <c r="H301">
        <v>2306.4878571428576</v>
      </c>
      <c r="I301" t="s">
        <v>64</v>
      </c>
    </row>
    <row r="302" spans="1:9" x14ac:dyDescent="0.35">
      <c r="A302" t="s">
        <v>63</v>
      </c>
      <c r="B302" t="s">
        <v>51</v>
      </c>
      <c r="C302">
        <v>3982.9806968057151</v>
      </c>
      <c r="D302">
        <v>3907.9651666503501</v>
      </c>
      <c r="E302">
        <v>3940.7621672050518</v>
      </c>
      <c r="F302">
        <v>5831.2993019703508</v>
      </c>
      <c r="G302">
        <v>3904.8317063049999</v>
      </c>
      <c r="H302">
        <v>3792.296948897816</v>
      </c>
      <c r="I302" t="s">
        <v>64</v>
      </c>
    </row>
    <row r="303" spans="1:9" x14ac:dyDescent="0.35">
      <c r="A303" t="s">
        <v>63</v>
      </c>
      <c r="B303" t="s">
        <v>52</v>
      </c>
      <c r="C303">
        <v>2096.4035921581776</v>
      </c>
      <c r="D303">
        <v>2472.6333333333332</v>
      </c>
      <c r="E303">
        <v>2215.5338175123975</v>
      </c>
      <c r="F303">
        <v>2736.6434112896104</v>
      </c>
      <c r="G303">
        <v>2944.0942081571302</v>
      </c>
      <c r="H303">
        <v>2464.9638700888577</v>
      </c>
      <c r="I303" t="s">
        <v>64</v>
      </c>
    </row>
    <row r="304" spans="1:9" x14ac:dyDescent="0.35">
      <c r="A304" t="s">
        <v>63</v>
      </c>
      <c r="I304" t="s">
        <v>64</v>
      </c>
    </row>
    <row r="305" spans="1:9" x14ac:dyDescent="0.35">
      <c r="A305" t="s">
        <v>63</v>
      </c>
      <c r="I305" t="s">
        <v>64</v>
      </c>
    </row>
    <row r="306" spans="1:9" x14ac:dyDescent="0.35">
      <c r="A306" t="s">
        <v>65</v>
      </c>
      <c r="B306" t="s">
        <v>10</v>
      </c>
      <c r="C306">
        <v>251.09508271428572</v>
      </c>
      <c r="D306">
        <v>254.48333333333335</v>
      </c>
      <c r="E306">
        <v>242.85</v>
      </c>
      <c r="F306">
        <v>292.51553245299999</v>
      </c>
      <c r="G306">
        <v>267.44226189083332</v>
      </c>
      <c r="H306">
        <v>268.66666666666669</v>
      </c>
      <c r="I306" t="s">
        <v>66</v>
      </c>
    </row>
    <row r="307" spans="1:9" x14ac:dyDescent="0.35">
      <c r="A307" t="s">
        <v>65</v>
      </c>
      <c r="B307" t="s">
        <v>12</v>
      </c>
      <c r="C307">
        <v>5835.8405639285711</v>
      </c>
      <c r="D307">
        <v>6341.666666666667</v>
      </c>
      <c r="E307">
        <v>5808.9285714285716</v>
      </c>
      <c r="F307">
        <v>6985.2183599999989</v>
      </c>
      <c r="G307">
        <v>6120.8273809425</v>
      </c>
      <c r="H307">
        <v>6432.708333333333</v>
      </c>
      <c r="I307" t="s">
        <v>66</v>
      </c>
    </row>
    <row r="308" spans="1:9" x14ac:dyDescent="0.35">
      <c r="A308" t="s">
        <v>65</v>
      </c>
      <c r="B308" t="s">
        <v>13</v>
      </c>
      <c r="C308">
        <v>2941.4881598573475</v>
      </c>
      <c r="D308">
        <v>2775.4694848641666</v>
      </c>
      <c r="E308">
        <v>1788.797315359717</v>
      </c>
      <c r="F308">
        <v>3307.5787845942855</v>
      </c>
      <c r="G308">
        <v>2616.5363181058333</v>
      </c>
      <c r="H308">
        <v>2466.6377561411578</v>
      </c>
      <c r="I308" t="s">
        <v>66</v>
      </c>
    </row>
    <row r="309" spans="1:9" x14ac:dyDescent="0.35">
      <c r="A309" t="s">
        <v>65</v>
      </c>
      <c r="B309" t="s">
        <v>14</v>
      </c>
      <c r="C309">
        <v>2244.7862114721429</v>
      </c>
      <c r="D309">
        <v>2180.4319292650002</v>
      </c>
      <c r="E309">
        <v>1610.9339441860957</v>
      </c>
      <c r="F309">
        <v>2900.7283281941427</v>
      </c>
      <c r="G309">
        <v>2523.1096995633329</v>
      </c>
      <c r="H309">
        <v>2040.671434825972</v>
      </c>
      <c r="I309" t="s">
        <v>66</v>
      </c>
    </row>
    <row r="310" spans="1:9" x14ac:dyDescent="0.35">
      <c r="A310" t="s">
        <v>65</v>
      </c>
      <c r="B310" t="s">
        <v>15</v>
      </c>
      <c r="C310">
        <v>6335.0825460364285</v>
      </c>
      <c r="D310">
        <v>6218.75</v>
      </c>
      <c r="E310">
        <v>5781.9285714285716</v>
      </c>
      <c r="F310">
        <v>8188.5987514527133</v>
      </c>
      <c r="G310">
        <v>6634.0850885497903</v>
      </c>
      <c r="H310">
        <v>6415.0757576016667</v>
      </c>
      <c r="I310" t="s">
        <v>66</v>
      </c>
    </row>
    <row r="311" spans="1:9" x14ac:dyDescent="0.35">
      <c r="A311" t="s">
        <v>65</v>
      </c>
      <c r="B311" t="s">
        <v>16</v>
      </c>
      <c r="C311">
        <v>1738.7275439285713</v>
      </c>
      <c r="D311">
        <v>1570.9998750000002</v>
      </c>
      <c r="E311">
        <v>1712.5128571666671</v>
      </c>
      <c r="F311">
        <v>1630</v>
      </c>
      <c r="G311">
        <v>1743.6441798611111</v>
      </c>
      <c r="H311">
        <v>1661.6527777777781</v>
      </c>
      <c r="I311" t="s">
        <v>66</v>
      </c>
    </row>
    <row r="312" spans="1:9" x14ac:dyDescent="0.35">
      <c r="A312" t="s">
        <v>65</v>
      </c>
      <c r="B312" t="s">
        <v>17</v>
      </c>
      <c r="C312">
        <v>1645.0944331892858</v>
      </c>
      <c r="D312">
        <v>1298.8332083333332</v>
      </c>
      <c r="E312">
        <v>1731.933550461803</v>
      </c>
      <c r="F312">
        <v>1497.9306682470001</v>
      </c>
      <c r="G312">
        <v>1769.1746031666669</v>
      </c>
      <c r="H312">
        <v>1371.5208333333333</v>
      </c>
      <c r="I312" t="s">
        <v>66</v>
      </c>
    </row>
    <row r="313" spans="1:9" x14ac:dyDescent="0.35">
      <c r="A313" t="s">
        <v>65</v>
      </c>
      <c r="B313" t="s">
        <v>18</v>
      </c>
      <c r="C313">
        <v>1577.1428571428571</v>
      </c>
      <c r="D313">
        <v>1691.6666666666667</v>
      </c>
      <c r="E313">
        <v>1580</v>
      </c>
      <c r="F313">
        <v>2327.1189182329072</v>
      </c>
      <c r="G313">
        <v>2463.0725108316669</v>
      </c>
      <c r="H313">
        <v>2229.4684396720836</v>
      </c>
      <c r="I313" t="s">
        <v>66</v>
      </c>
    </row>
    <row r="314" spans="1:9" x14ac:dyDescent="0.35">
      <c r="A314" t="s">
        <v>65</v>
      </c>
      <c r="B314" t="s">
        <v>19</v>
      </c>
      <c r="C314">
        <v>6827.2090825071436</v>
      </c>
      <c r="D314">
        <v>5222.5</v>
      </c>
      <c r="E314">
        <v>4316.0952380952385</v>
      </c>
      <c r="F314">
        <v>5785.3903905254247</v>
      </c>
      <c r="G314">
        <v>5608.3278500775004</v>
      </c>
      <c r="H314">
        <v>5308.0030839212968</v>
      </c>
      <c r="I314" t="s">
        <v>66</v>
      </c>
    </row>
    <row r="315" spans="1:9" x14ac:dyDescent="0.35">
      <c r="A315" t="s">
        <v>65</v>
      </c>
      <c r="B315" t="s">
        <v>20</v>
      </c>
      <c r="C315">
        <v>3975.6537802214289</v>
      </c>
      <c r="D315">
        <v>2931.8333333333335</v>
      </c>
      <c r="E315">
        <v>2428.7026785985713</v>
      </c>
      <c r="F315">
        <v>3424.5781312244972</v>
      </c>
      <c r="G315">
        <v>3869.79340275</v>
      </c>
      <c r="H315">
        <v>4376.3380952566667</v>
      </c>
      <c r="I315" t="s">
        <v>66</v>
      </c>
    </row>
    <row r="316" spans="1:9" x14ac:dyDescent="0.35">
      <c r="A316" t="s">
        <v>65</v>
      </c>
      <c r="B316" t="s">
        <v>21</v>
      </c>
      <c r="C316">
        <v>6228.5714285714284</v>
      </c>
      <c r="D316">
        <v>4810</v>
      </c>
      <c r="E316">
        <v>4707.1428571428569</v>
      </c>
      <c r="F316">
        <v>7610</v>
      </c>
      <c r="G316">
        <v>5523.333333333333</v>
      </c>
      <c r="H316">
        <v>5566.666666666667</v>
      </c>
      <c r="I316" t="s">
        <v>66</v>
      </c>
    </row>
    <row r="317" spans="1:9" x14ac:dyDescent="0.35">
      <c r="A317" t="s">
        <v>65</v>
      </c>
      <c r="B317" t="s">
        <v>22</v>
      </c>
      <c r="C317">
        <v>5055.400926351429</v>
      </c>
      <c r="D317">
        <v>3629.5</v>
      </c>
      <c r="E317">
        <v>4137.1205356585715</v>
      </c>
      <c r="F317">
        <v>4917.4768723058796</v>
      </c>
      <c r="G317">
        <v>5050.408482115</v>
      </c>
      <c r="H317">
        <v>5304.017857104167</v>
      </c>
      <c r="I317" t="s">
        <v>66</v>
      </c>
    </row>
    <row r="318" spans="1:9" x14ac:dyDescent="0.35">
      <c r="A318" t="s">
        <v>65</v>
      </c>
      <c r="B318" t="s">
        <v>23</v>
      </c>
      <c r="C318">
        <v>7265.7142857142853</v>
      </c>
      <c r="D318">
        <v>7153.7794117500007</v>
      </c>
      <c r="E318">
        <v>7224.5341798878571</v>
      </c>
      <c r="F318">
        <v>6675.8345304490012</v>
      </c>
      <c r="G318">
        <v>4925</v>
      </c>
      <c r="H318">
        <v>6504.2509043701393</v>
      </c>
      <c r="I318" t="s">
        <v>66</v>
      </c>
    </row>
    <row r="319" spans="1:9" x14ac:dyDescent="0.35">
      <c r="A319" t="s">
        <v>65</v>
      </c>
      <c r="B319" t="s">
        <v>24</v>
      </c>
      <c r="C319">
        <v>7726.4224003192849</v>
      </c>
      <c r="D319">
        <v>5884.6296296666669</v>
      </c>
      <c r="E319">
        <v>5611.8279220021432</v>
      </c>
      <c r="F319">
        <v>8924.127276874</v>
      </c>
      <c r="G319">
        <v>5666.263037615</v>
      </c>
      <c r="H319">
        <v>5496.0459183374996</v>
      </c>
      <c r="I319" t="s">
        <v>66</v>
      </c>
    </row>
    <row r="320" spans="1:9" x14ac:dyDescent="0.35">
      <c r="A320" t="s">
        <v>65</v>
      </c>
      <c r="B320" t="s">
        <v>25</v>
      </c>
      <c r="C320">
        <v>1387.5250477592856</v>
      </c>
      <c r="D320">
        <v>1369.4025807716669</v>
      </c>
      <c r="E320">
        <v>1602.3057893078287</v>
      </c>
      <c r="F320">
        <v>1391.3382117212598</v>
      </c>
      <c r="G320">
        <v>1256.2075014043833</v>
      </c>
      <c r="H320">
        <v>1131.7212057790341</v>
      </c>
      <c r="I320" t="s">
        <v>66</v>
      </c>
    </row>
    <row r="321" spans="1:9" x14ac:dyDescent="0.35">
      <c r="A321" t="s">
        <v>65</v>
      </c>
      <c r="B321" t="s">
        <v>26</v>
      </c>
      <c r="C321">
        <v>1411.6682049331998</v>
      </c>
      <c r="D321">
        <v>1529.0821813333334</v>
      </c>
      <c r="E321">
        <v>1648.3481168625228</v>
      </c>
      <c r="F321">
        <v>1526.7733089186099</v>
      </c>
      <c r="G321">
        <v>1314.7855109456502</v>
      </c>
      <c r="H321">
        <v>1296.4849754760721</v>
      </c>
      <c r="I321" t="s">
        <v>66</v>
      </c>
    </row>
    <row r="322" spans="1:9" x14ac:dyDescent="0.35">
      <c r="A322" t="s">
        <v>65</v>
      </c>
      <c r="B322" t="s">
        <v>27</v>
      </c>
      <c r="C322">
        <v>4586.3372710388849</v>
      </c>
      <c r="D322">
        <v>4273.375</v>
      </c>
      <c r="E322">
        <v>3758.5280078093356</v>
      </c>
      <c r="F322">
        <v>5360.8466631901538</v>
      </c>
      <c r="G322">
        <v>4965</v>
      </c>
      <c r="H322">
        <v>4926.666666666667</v>
      </c>
      <c r="I322" t="s">
        <v>66</v>
      </c>
    </row>
    <row r="323" spans="1:9" x14ac:dyDescent="0.35">
      <c r="A323" t="s">
        <v>65</v>
      </c>
      <c r="B323" t="s">
        <v>28</v>
      </c>
      <c r="C323">
        <v>5730.190571018572</v>
      </c>
      <c r="D323">
        <v>6290.833333333333</v>
      </c>
      <c r="E323">
        <v>6449.2649770214284</v>
      </c>
      <c r="F323">
        <v>8361.5224815614692</v>
      </c>
      <c r="G323">
        <v>7980.3187517875003</v>
      </c>
      <c r="H323">
        <v>7055.0651967365266</v>
      </c>
      <c r="I323" t="s">
        <v>66</v>
      </c>
    </row>
    <row r="324" spans="1:9" x14ac:dyDescent="0.35">
      <c r="A324" t="s">
        <v>65</v>
      </c>
      <c r="B324" t="s">
        <v>29</v>
      </c>
      <c r="C324">
        <v>2940.0563112857139</v>
      </c>
      <c r="D324">
        <v>3208.1111110833335</v>
      </c>
      <c r="E324">
        <v>2875.6194000271425</v>
      </c>
      <c r="F324">
        <v>3050.0957799215003</v>
      </c>
      <c r="G324">
        <v>3595.4940475633339</v>
      </c>
      <c r="H324">
        <v>3719.0699999999997</v>
      </c>
      <c r="I324" t="s">
        <v>66</v>
      </c>
    </row>
    <row r="325" spans="1:9" x14ac:dyDescent="0.35">
      <c r="A325" t="s">
        <v>65</v>
      </c>
      <c r="B325" t="s">
        <v>30</v>
      </c>
      <c r="C325">
        <v>2332.6889687928569</v>
      </c>
      <c r="D325">
        <v>2222.0000000316668</v>
      </c>
      <c r="E325">
        <v>2539.0134753314283</v>
      </c>
      <c r="F325">
        <v>2836.38</v>
      </c>
      <c r="G325">
        <v>2633.0357142500002</v>
      </c>
      <c r="H325">
        <v>2438.3333333333335</v>
      </c>
      <c r="I325" t="s">
        <v>66</v>
      </c>
    </row>
    <row r="326" spans="1:9" x14ac:dyDescent="0.35">
      <c r="A326" t="s">
        <v>65</v>
      </c>
      <c r="B326" t="s">
        <v>31</v>
      </c>
      <c r="C326">
        <v>1852.6109409750002</v>
      </c>
      <c r="D326">
        <v>1290.8965053291668</v>
      </c>
      <c r="E326">
        <v>1410.8080933276979</v>
      </c>
      <c r="F326">
        <v>2494.2570831131043</v>
      </c>
      <c r="G326">
        <v>2225.4400496208332</v>
      </c>
      <c r="H326">
        <v>2201.9573683656249</v>
      </c>
      <c r="I326" t="s">
        <v>66</v>
      </c>
    </row>
    <row r="327" spans="1:9" x14ac:dyDescent="0.35">
      <c r="A327" t="s">
        <v>65</v>
      </c>
      <c r="B327" t="s">
        <v>32</v>
      </c>
      <c r="C327">
        <v>3352.9755715139286</v>
      </c>
      <c r="D327">
        <v>1721.9955739224999</v>
      </c>
      <c r="E327">
        <v>1651.8713751935713</v>
      </c>
      <c r="F327">
        <v>2457.0791166761701</v>
      </c>
      <c r="G327">
        <v>3273.7789953516663</v>
      </c>
      <c r="H327">
        <v>3593.3333333333335</v>
      </c>
      <c r="I327" t="s">
        <v>66</v>
      </c>
    </row>
    <row r="328" spans="1:9" x14ac:dyDescent="0.35">
      <c r="A328" t="s">
        <v>65</v>
      </c>
      <c r="B328" t="s">
        <v>33</v>
      </c>
      <c r="C328">
        <v>7735.617763690715</v>
      </c>
      <c r="D328">
        <v>5772.916666666667</v>
      </c>
      <c r="E328">
        <v>4665.0196428571426</v>
      </c>
      <c r="F328">
        <v>5103.1626460179996</v>
      </c>
      <c r="G328">
        <v>4840.2310700833332</v>
      </c>
      <c r="H328">
        <v>4476.3752639466666</v>
      </c>
      <c r="I328" t="s">
        <v>66</v>
      </c>
    </row>
    <row r="329" spans="1:9" x14ac:dyDescent="0.35">
      <c r="A329" t="s">
        <v>65</v>
      </c>
      <c r="B329" t="s">
        <v>34</v>
      </c>
      <c r="C329">
        <v>1112.3593652092857</v>
      </c>
      <c r="D329">
        <v>1169.1216270725001</v>
      </c>
      <c r="E329">
        <v>1187.2765340550475</v>
      </c>
      <c r="F329">
        <v>1578.8840579434989</v>
      </c>
      <c r="G329">
        <v>1406.5412715716666</v>
      </c>
      <c r="H329">
        <v>1311.375542699765</v>
      </c>
      <c r="I329" t="s">
        <v>66</v>
      </c>
    </row>
    <row r="330" spans="1:9" x14ac:dyDescent="0.35">
      <c r="A330" t="s">
        <v>65</v>
      </c>
      <c r="B330" t="s">
        <v>35</v>
      </c>
      <c r="C330">
        <v>1320.3756838042857</v>
      </c>
      <c r="D330">
        <v>780.33333332250004</v>
      </c>
      <c r="E330">
        <v>1126.9896647302198</v>
      </c>
      <c r="F330">
        <v>1989.033510453</v>
      </c>
      <c r="G330">
        <v>2393.6118295966667</v>
      </c>
      <c r="H330">
        <v>1161.5079365497218</v>
      </c>
      <c r="I330" t="s">
        <v>66</v>
      </c>
    </row>
    <row r="331" spans="1:9" x14ac:dyDescent="0.35">
      <c r="A331" t="s">
        <v>65</v>
      </c>
      <c r="B331" t="s">
        <v>36</v>
      </c>
      <c r="C331">
        <v>2268.7855897857144</v>
      </c>
      <c r="D331">
        <v>2127.7777778333334</v>
      </c>
      <c r="E331">
        <v>2598.1857143131429</v>
      </c>
      <c r="F331">
        <v>2670.3829781140003</v>
      </c>
      <c r="G331">
        <v>2485.4428571666667</v>
      </c>
      <c r="H331">
        <v>2972.5933333333328</v>
      </c>
      <c r="I331" t="s">
        <v>66</v>
      </c>
    </row>
    <row r="332" spans="1:9" x14ac:dyDescent="0.35">
      <c r="A332" t="s">
        <v>65</v>
      </c>
      <c r="B332" t="s">
        <v>37</v>
      </c>
      <c r="C332">
        <v>2209.8441271130496</v>
      </c>
      <c r="D332">
        <v>1849.1522989091666</v>
      </c>
      <c r="E332">
        <v>1808.2634410028572</v>
      </c>
      <c r="F332">
        <v>2198.0818475690003</v>
      </c>
      <c r="G332">
        <v>2092.2289172120832</v>
      </c>
      <c r="H332">
        <v>1888.3608073962032</v>
      </c>
      <c r="I332" t="s">
        <v>66</v>
      </c>
    </row>
    <row r="333" spans="1:9" x14ac:dyDescent="0.35">
      <c r="A333" t="s">
        <v>65</v>
      </c>
      <c r="B333" t="s">
        <v>38</v>
      </c>
      <c r="C333">
        <v>2447.2685969314289</v>
      </c>
      <c r="D333">
        <v>2193.863821107308</v>
      </c>
      <c r="E333">
        <v>1946.9928047914286</v>
      </c>
      <c r="F333">
        <v>2370.2125069367858</v>
      </c>
      <c r="G333">
        <v>2409.4774004186906</v>
      </c>
      <c r="H333">
        <v>1951.3292793122557</v>
      </c>
      <c r="I333" t="s">
        <v>66</v>
      </c>
    </row>
    <row r="334" spans="1:9" x14ac:dyDescent="0.35">
      <c r="A334" t="s">
        <v>65</v>
      </c>
      <c r="B334" t="s">
        <v>39</v>
      </c>
      <c r="C334">
        <v>2277.5802657393879</v>
      </c>
      <c r="D334">
        <v>2129.7667646580553</v>
      </c>
      <c r="E334">
        <v>2266.3075809222878</v>
      </c>
      <c r="F334">
        <v>2300.7501716258666</v>
      </c>
      <c r="G334">
        <v>2354.6834751872725</v>
      </c>
      <c r="H334">
        <v>2126.6578113832406</v>
      </c>
      <c r="I334" t="s">
        <v>66</v>
      </c>
    </row>
    <row r="335" spans="1:9" x14ac:dyDescent="0.35">
      <c r="A335" t="s">
        <v>65</v>
      </c>
      <c r="B335" t="s">
        <v>40</v>
      </c>
      <c r="C335">
        <v>2843.2938258607142</v>
      </c>
      <c r="D335">
        <v>2351.3498518912502</v>
      </c>
      <c r="E335">
        <v>2808.5887889873816</v>
      </c>
      <c r="F335">
        <v>2750.9579944119237</v>
      </c>
      <c r="G335">
        <v>2795.9588744166667</v>
      </c>
      <c r="H335">
        <v>2489.9835700449999</v>
      </c>
      <c r="I335" t="s">
        <v>66</v>
      </c>
    </row>
    <row r="336" spans="1:9" x14ac:dyDescent="0.35">
      <c r="A336" t="s">
        <v>65</v>
      </c>
      <c r="B336" t="s">
        <v>41</v>
      </c>
      <c r="C336">
        <v>2243.4291254357145</v>
      </c>
      <c r="D336">
        <v>2147.1666666666665</v>
      </c>
      <c r="E336">
        <v>1892.8571428571429</v>
      </c>
      <c r="F336">
        <v>2428</v>
      </c>
      <c r="G336">
        <v>2393.955357115</v>
      </c>
      <c r="H336">
        <v>2010.7708333333333</v>
      </c>
      <c r="I336" t="s">
        <v>66</v>
      </c>
    </row>
    <row r="337" spans="1:9" x14ac:dyDescent="0.35">
      <c r="A337" t="s">
        <v>65</v>
      </c>
      <c r="B337" t="s">
        <v>42</v>
      </c>
      <c r="C337">
        <v>6248.0835002432623</v>
      </c>
      <c r="D337">
        <v>5720.5882352866656</v>
      </c>
      <c r="E337">
        <v>4650.8396494742856</v>
      </c>
      <c r="F337">
        <v>5879.6063122619998</v>
      </c>
      <c r="G337">
        <v>6285.3657133866664</v>
      </c>
      <c r="H337">
        <v>5854.2870322059716</v>
      </c>
      <c r="I337" t="s">
        <v>66</v>
      </c>
    </row>
    <row r="338" spans="1:9" x14ac:dyDescent="0.35">
      <c r="A338" t="s">
        <v>65</v>
      </c>
      <c r="B338" t="s">
        <v>43</v>
      </c>
      <c r="C338">
        <v>815.60019124500002</v>
      </c>
      <c r="D338">
        <v>856.44756444583334</v>
      </c>
      <c r="E338">
        <v>744.1573176577773</v>
      </c>
      <c r="F338">
        <v>896.82123832271429</v>
      </c>
      <c r="G338">
        <v>1519.6984968543331</v>
      </c>
      <c r="H338">
        <v>667.74257168359077</v>
      </c>
      <c r="I338" t="s">
        <v>66</v>
      </c>
    </row>
    <row r="339" spans="1:9" x14ac:dyDescent="0.35">
      <c r="A339" t="s">
        <v>65</v>
      </c>
      <c r="B339" t="s">
        <v>44</v>
      </c>
      <c r="C339">
        <v>6569.7082631378025</v>
      </c>
      <c r="D339">
        <v>5432.1495485591668</v>
      </c>
      <c r="E339">
        <v>4844.3045111814281</v>
      </c>
      <c r="F339">
        <v>5275.3153261826083</v>
      </c>
      <c r="G339">
        <v>5243.1521020325008</v>
      </c>
      <c r="H339">
        <v>5276.3472222843047</v>
      </c>
      <c r="I339" t="s">
        <v>66</v>
      </c>
    </row>
    <row r="340" spans="1:9" x14ac:dyDescent="0.35">
      <c r="A340" t="s">
        <v>65</v>
      </c>
      <c r="B340" t="s">
        <v>45</v>
      </c>
      <c r="C340">
        <v>1035.4471568900001</v>
      </c>
      <c r="D340">
        <v>1000.5833333333334</v>
      </c>
      <c r="E340">
        <v>902.28571428571433</v>
      </c>
      <c r="F340">
        <v>1103.3</v>
      </c>
      <c r="G340">
        <v>1017.2738094966667</v>
      </c>
      <c r="H340">
        <v>963.64583333333337</v>
      </c>
      <c r="I340" t="s">
        <v>66</v>
      </c>
    </row>
    <row r="341" spans="1:9" x14ac:dyDescent="0.35">
      <c r="A341" t="s">
        <v>65</v>
      </c>
      <c r="B341" t="s">
        <v>46</v>
      </c>
      <c r="C341">
        <v>813.92352327142851</v>
      </c>
      <c r="D341">
        <v>870.41666666666663</v>
      </c>
      <c r="E341">
        <v>854.36785714285713</v>
      </c>
      <c r="F341">
        <v>899.13349999999991</v>
      </c>
      <c r="G341">
        <v>981.86214283333322</v>
      </c>
      <c r="H341">
        <v>830.27083333333337</v>
      </c>
      <c r="I341" t="s">
        <v>66</v>
      </c>
    </row>
    <row r="342" spans="1:9" x14ac:dyDescent="0.35">
      <c r="A342" t="s">
        <v>65</v>
      </c>
      <c r="B342" t="s">
        <v>47</v>
      </c>
      <c r="C342">
        <v>7013.51967522</v>
      </c>
      <c r="D342">
        <v>5088.5</v>
      </c>
      <c r="E342">
        <v>6570.2825254642858</v>
      </c>
      <c r="F342">
        <v>5637.7840640270006</v>
      </c>
      <c r="G342">
        <v>5395.9093015740646</v>
      </c>
      <c r="H342">
        <v>5106.3786739626403</v>
      </c>
      <c r="I342" t="s">
        <v>66</v>
      </c>
    </row>
    <row r="343" spans="1:9" x14ac:dyDescent="0.35">
      <c r="A343" t="s">
        <v>65</v>
      </c>
      <c r="B343" t="s">
        <v>48</v>
      </c>
      <c r="C343">
        <v>1129.9688204296431</v>
      </c>
      <c r="D343">
        <v>809.25925925925924</v>
      </c>
      <c r="E343">
        <v>866.19800073213867</v>
      </c>
      <c r="F343">
        <v>1709.8290938094572</v>
      </c>
      <c r="G343">
        <v>1186.2878357464999</v>
      </c>
      <c r="H343">
        <v>1387.69930072593</v>
      </c>
      <c r="I343" t="s">
        <v>66</v>
      </c>
    </row>
    <row r="344" spans="1:9" x14ac:dyDescent="0.35">
      <c r="A344" t="s">
        <v>65</v>
      </c>
      <c r="B344" t="s">
        <v>49</v>
      </c>
      <c r="C344">
        <v>3144.3777398571428</v>
      </c>
      <c r="D344">
        <v>3088.9999999066672</v>
      </c>
      <c r="E344">
        <v>2899.3571428292857</v>
      </c>
      <c r="F344">
        <v>3468.553999961</v>
      </c>
      <c r="G344">
        <v>3714.357142833333</v>
      </c>
      <c r="H344">
        <v>3833.375</v>
      </c>
      <c r="I344" t="s">
        <v>66</v>
      </c>
    </row>
    <row r="345" spans="1:9" x14ac:dyDescent="0.35">
      <c r="A345" t="s">
        <v>65</v>
      </c>
      <c r="B345" t="s">
        <v>50</v>
      </c>
      <c r="C345">
        <v>1880.7200284035714</v>
      </c>
      <c r="D345">
        <v>1717.25</v>
      </c>
      <c r="E345">
        <v>1573.6483763678573</v>
      </c>
      <c r="F345">
        <v>2618.63</v>
      </c>
      <c r="G345">
        <v>2649.702380994167</v>
      </c>
      <c r="H345">
        <v>2005.8083333333334</v>
      </c>
      <c r="I345" t="s">
        <v>66</v>
      </c>
    </row>
    <row r="346" spans="1:9" x14ac:dyDescent="0.35">
      <c r="A346" t="s">
        <v>65</v>
      </c>
      <c r="B346" t="s">
        <v>51</v>
      </c>
      <c r="C346">
        <v>3968.2530720785717</v>
      </c>
      <c r="D346">
        <v>4037.0458332683338</v>
      </c>
      <c r="E346">
        <v>3944.3571428571427</v>
      </c>
      <c r="F346">
        <v>5378.7676090418781</v>
      </c>
      <c r="G346">
        <v>3916.0595237300004</v>
      </c>
      <c r="H346">
        <v>3704.3720238095243</v>
      </c>
      <c r="I346" t="s">
        <v>66</v>
      </c>
    </row>
    <row r="347" spans="1:9" x14ac:dyDescent="0.35">
      <c r="A347" t="s">
        <v>65</v>
      </c>
      <c r="B347" t="s">
        <v>52</v>
      </c>
      <c r="C347">
        <v>1975.6325287678574</v>
      </c>
      <c r="D347">
        <v>1787.0066322741666</v>
      </c>
      <c r="E347">
        <v>2187.908467360744</v>
      </c>
      <c r="F347">
        <v>2349.3248806111419</v>
      </c>
      <c r="G347">
        <v>2479.9780750759724</v>
      </c>
      <c r="H347">
        <v>2121.4152833428702</v>
      </c>
      <c r="I347" t="s">
        <v>66</v>
      </c>
    </row>
    <row r="348" spans="1:9" x14ac:dyDescent="0.35">
      <c r="A348" t="s">
        <v>67</v>
      </c>
      <c r="B348" t="s">
        <v>10</v>
      </c>
      <c r="C348">
        <v>255.12876190476189</v>
      </c>
      <c r="D348">
        <v>259.15708333333333</v>
      </c>
      <c r="E348">
        <v>245.61825396825571</v>
      </c>
      <c r="F348">
        <v>308.02200000000005</v>
      </c>
      <c r="G348">
        <v>269.05254363157218</v>
      </c>
      <c r="H348">
        <v>269.53956349206351</v>
      </c>
      <c r="I348" t="s">
        <v>68</v>
      </c>
    </row>
    <row r="349" spans="1:9" x14ac:dyDescent="0.35">
      <c r="A349" t="s">
        <v>67</v>
      </c>
      <c r="B349" t="s">
        <v>12</v>
      </c>
      <c r="C349">
        <v>5842.5421714285721</v>
      </c>
      <c r="D349">
        <v>6113.333333333333</v>
      </c>
      <c r="E349">
        <v>5744.3607142857145</v>
      </c>
      <c r="F349">
        <v>7441.2792904999997</v>
      </c>
      <c r="G349">
        <v>6297.5433730350951</v>
      </c>
      <c r="H349">
        <v>6497.4833333333327</v>
      </c>
      <c r="I349" t="s">
        <v>68</v>
      </c>
    </row>
    <row r="350" spans="1:9" x14ac:dyDescent="0.35">
      <c r="A350" t="s">
        <v>67</v>
      </c>
      <c r="B350" t="s">
        <v>13</v>
      </c>
      <c r="C350">
        <v>2608.5340680273061</v>
      </c>
      <c r="D350">
        <v>2421.5097222445361</v>
      </c>
      <c r="E350">
        <v>1766.2272231703398</v>
      </c>
      <c r="F350">
        <v>3166.0263221572063</v>
      </c>
      <c r="G350">
        <v>2269.0691038599616</v>
      </c>
      <c r="H350">
        <v>2275.6142204673711</v>
      </c>
      <c r="I350" t="s">
        <v>68</v>
      </c>
    </row>
    <row r="351" spans="1:9" x14ac:dyDescent="0.35">
      <c r="A351" t="s">
        <v>67</v>
      </c>
      <c r="B351" t="s">
        <v>14</v>
      </c>
      <c r="C351">
        <v>2052.6726109637943</v>
      </c>
      <c r="D351">
        <v>2141.8125</v>
      </c>
      <c r="E351">
        <v>1580.2767629172629</v>
      </c>
      <c r="F351">
        <v>2705.7527639468899</v>
      </c>
      <c r="G351">
        <v>2120.5972357872333</v>
      </c>
      <c r="H351">
        <v>1827.4887843403669</v>
      </c>
      <c r="I351" t="s">
        <v>68</v>
      </c>
    </row>
    <row r="352" spans="1:9" x14ac:dyDescent="0.35">
      <c r="A352" t="s">
        <v>67</v>
      </c>
      <c r="B352" t="s">
        <v>15</v>
      </c>
      <c r="C352">
        <v>6374.4690476190472</v>
      </c>
      <c r="D352">
        <v>6383.333333333333</v>
      </c>
      <c r="E352">
        <v>5793.5996860282567</v>
      </c>
      <c r="F352">
        <v>8540.13673165</v>
      </c>
      <c r="G352">
        <v>6894.3412833364127</v>
      </c>
      <c r="H352">
        <v>6497.5</v>
      </c>
      <c r="I352" t="s">
        <v>68</v>
      </c>
    </row>
    <row r="353" spans="1:9" x14ac:dyDescent="0.35">
      <c r="A353" t="s">
        <v>67</v>
      </c>
      <c r="B353" t="s">
        <v>16</v>
      </c>
      <c r="C353">
        <v>1745.2713857142858</v>
      </c>
      <c r="D353">
        <v>1437.5</v>
      </c>
      <c r="E353">
        <v>1740.5692859761905</v>
      </c>
      <c r="F353">
        <v>1670.8406289874579</v>
      </c>
      <c r="G353">
        <v>1706.6666666666667</v>
      </c>
      <c r="H353">
        <v>1618.4403472222218</v>
      </c>
      <c r="I353" t="s">
        <v>68</v>
      </c>
    </row>
    <row r="354" spans="1:9" x14ac:dyDescent="0.35">
      <c r="A354" t="s">
        <v>67</v>
      </c>
      <c r="B354" t="s">
        <v>17</v>
      </c>
      <c r="C354">
        <v>1654.0201669090909</v>
      </c>
      <c r="D354">
        <v>1310.0694444444443</v>
      </c>
      <c r="E354">
        <v>1720.8390187829868</v>
      </c>
      <c r="F354">
        <v>1556.02</v>
      </c>
      <c r="G354">
        <v>1665.3324514722224</v>
      </c>
      <c r="H354">
        <v>1386.2619047619046</v>
      </c>
      <c r="I354" t="s">
        <v>68</v>
      </c>
    </row>
    <row r="355" spans="1:9" x14ac:dyDescent="0.35">
      <c r="A355" t="s">
        <v>67</v>
      </c>
      <c r="B355" t="s">
        <v>18</v>
      </c>
      <c r="C355">
        <v>1595.2191162054837</v>
      </c>
      <c r="D355">
        <v>1446.3179939077461</v>
      </c>
      <c r="E355">
        <v>1600.8264218535394</v>
      </c>
      <c r="F355">
        <v>2456.9489530829392</v>
      </c>
      <c r="G355">
        <v>2337.6165611052547</v>
      </c>
      <c r="H355">
        <v>2228.6256900031035</v>
      </c>
      <c r="I355" t="s">
        <v>68</v>
      </c>
    </row>
    <row r="356" spans="1:9" x14ac:dyDescent="0.35">
      <c r="A356" t="s">
        <v>67</v>
      </c>
      <c r="B356" t="s">
        <v>19</v>
      </c>
      <c r="C356">
        <v>6838.9160208070143</v>
      </c>
      <c r="D356">
        <v>4810.9611742442394</v>
      </c>
      <c r="E356">
        <v>4617.512268358324</v>
      </c>
      <c r="F356">
        <v>6222.8206386333723</v>
      </c>
      <c r="G356">
        <v>5758.7054753266157</v>
      </c>
      <c r="H356">
        <v>5495.0019328724966</v>
      </c>
      <c r="I356" t="s">
        <v>68</v>
      </c>
    </row>
    <row r="357" spans="1:9" x14ac:dyDescent="0.35">
      <c r="A357" t="s">
        <v>67</v>
      </c>
      <c r="B357" t="s">
        <v>20</v>
      </c>
      <c r="C357">
        <v>4163.6727571429037</v>
      </c>
      <c r="D357">
        <v>2387.5</v>
      </c>
      <c r="E357">
        <v>2519.4393296697517</v>
      </c>
      <c r="F357">
        <v>3503.9083774594656</v>
      </c>
      <c r="G357">
        <v>3940.6527104656634</v>
      </c>
      <c r="H357">
        <v>4576.0641580773727</v>
      </c>
      <c r="I357" t="s">
        <v>68</v>
      </c>
    </row>
    <row r="358" spans="1:9" x14ac:dyDescent="0.35">
      <c r="A358" t="s">
        <v>67</v>
      </c>
      <c r="B358" t="s">
        <v>21</v>
      </c>
      <c r="C358">
        <v>6308.6772897249029</v>
      </c>
      <c r="D358">
        <v>4904.5</v>
      </c>
      <c r="E358">
        <v>4976.3801069518713</v>
      </c>
      <c r="F358">
        <v>7780.5678559999997</v>
      </c>
      <c r="G358">
        <v>5640</v>
      </c>
      <c r="H358">
        <v>5625</v>
      </c>
      <c r="I358" t="s">
        <v>68</v>
      </c>
    </row>
    <row r="359" spans="1:9" x14ac:dyDescent="0.35">
      <c r="A359" t="s">
        <v>67</v>
      </c>
      <c r="B359" t="s">
        <v>22</v>
      </c>
      <c r="C359">
        <v>5131.7285655799406</v>
      </c>
      <c r="D359">
        <v>3699.1666666666665</v>
      </c>
      <c r="E359">
        <v>4543.6713024012852</v>
      </c>
      <c r="F359">
        <v>5049.1688832067566</v>
      </c>
      <c r="G359">
        <v>5141.9891071044149</v>
      </c>
      <c r="H359">
        <v>5457.5417436828902</v>
      </c>
      <c r="I359" t="s">
        <v>68</v>
      </c>
    </row>
    <row r="360" spans="1:9" x14ac:dyDescent="0.35">
      <c r="A360" t="s">
        <v>67</v>
      </c>
      <c r="B360" t="s">
        <v>23</v>
      </c>
      <c r="C360">
        <v>7793.1877229267757</v>
      </c>
      <c r="D360">
        <v>8375</v>
      </c>
      <c r="E360">
        <v>7969.4342857142856</v>
      </c>
      <c r="F360">
        <v>7978.4359999999988</v>
      </c>
      <c r="G360">
        <v>6884.7541423632865</v>
      </c>
      <c r="H360">
        <v>9323.9787495063574</v>
      </c>
      <c r="I360" t="s">
        <v>68</v>
      </c>
    </row>
    <row r="361" spans="1:9" x14ac:dyDescent="0.35">
      <c r="A361" t="s">
        <v>67</v>
      </c>
      <c r="B361" t="s">
        <v>24</v>
      </c>
      <c r="C361">
        <v>7737.8143142857143</v>
      </c>
      <c r="D361">
        <v>5550</v>
      </c>
      <c r="E361">
        <v>5810.5852208349597</v>
      </c>
      <c r="F361">
        <v>9326.655999999999</v>
      </c>
      <c r="G361">
        <v>5876.2196624351054</v>
      </c>
      <c r="H361">
        <v>6330.7556760157941</v>
      </c>
      <c r="I361" t="s">
        <v>68</v>
      </c>
    </row>
    <row r="362" spans="1:9" x14ac:dyDescent="0.35">
      <c r="A362" t="s">
        <v>67</v>
      </c>
      <c r="B362" t="s">
        <v>25</v>
      </c>
      <c r="C362">
        <v>1392.1529997889807</v>
      </c>
      <c r="D362">
        <v>1366.6666666666667</v>
      </c>
      <c r="E362">
        <v>1516.813892029717</v>
      </c>
      <c r="F362">
        <v>1428.0493511824161</v>
      </c>
      <c r="G362">
        <v>1188.8661974466866</v>
      </c>
      <c r="H362">
        <v>1135.0021172246425</v>
      </c>
      <c r="I362" t="s">
        <v>68</v>
      </c>
    </row>
    <row r="363" spans="1:9" x14ac:dyDescent="0.35">
      <c r="A363" t="s">
        <v>67</v>
      </c>
      <c r="B363" t="s">
        <v>26</v>
      </c>
      <c r="C363">
        <v>1419.6135281574047</v>
      </c>
      <c r="D363">
        <v>1647.20606865644</v>
      </c>
      <c r="E363">
        <v>1471.4574330561429</v>
      </c>
      <c r="F363">
        <v>1551.6421335049072</v>
      </c>
      <c r="G363">
        <v>1226.550594668355</v>
      </c>
      <c r="H363">
        <v>1329.5462651750772</v>
      </c>
      <c r="I363" t="s">
        <v>68</v>
      </c>
    </row>
    <row r="364" spans="1:9" x14ac:dyDescent="0.35">
      <c r="A364" t="s">
        <v>67</v>
      </c>
      <c r="B364" t="s">
        <v>27</v>
      </c>
      <c r="C364">
        <v>5510.8957006804194</v>
      </c>
      <c r="D364">
        <v>4616.666666666667</v>
      </c>
      <c r="E364">
        <v>5458.1384513829162</v>
      </c>
      <c r="F364">
        <v>5787.568913287223</v>
      </c>
      <c r="G364">
        <v>5441.4547622432165</v>
      </c>
      <c r="H364">
        <v>6273.9758670703095</v>
      </c>
      <c r="I364" t="s">
        <v>68</v>
      </c>
    </row>
    <row r="365" spans="1:9" x14ac:dyDescent="0.35">
      <c r="A365" t="s">
        <v>67</v>
      </c>
      <c r="B365" t="s">
        <v>28</v>
      </c>
      <c r="C365">
        <v>5754.7066977741397</v>
      </c>
      <c r="D365">
        <v>5699.895833333333</v>
      </c>
      <c r="E365">
        <v>6086.4995670995568</v>
      </c>
      <c r="F365">
        <v>8643.9346666666661</v>
      </c>
      <c r="G365">
        <v>7452.0580520456833</v>
      </c>
      <c r="H365">
        <v>7214.1819280900563</v>
      </c>
      <c r="I365" t="s">
        <v>68</v>
      </c>
    </row>
    <row r="366" spans="1:9" x14ac:dyDescent="0.35">
      <c r="A366" t="s">
        <v>67</v>
      </c>
      <c r="B366" t="s">
        <v>29</v>
      </c>
      <c r="C366">
        <v>2944.9230068027209</v>
      </c>
      <c r="D366">
        <v>3113.2916666666665</v>
      </c>
      <c r="E366">
        <v>2931.4630951866898</v>
      </c>
      <c r="F366">
        <v>3183.3729784803372</v>
      </c>
      <c r="G366">
        <v>3758.5511210211807</v>
      </c>
      <c r="H366">
        <v>3447.0521626984123</v>
      </c>
      <c r="I366" t="s">
        <v>68</v>
      </c>
    </row>
    <row r="367" spans="1:9" x14ac:dyDescent="0.35">
      <c r="A367" t="s">
        <v>67</v>
      </c>
      <c r="B367" t="s">
        <v>30</v>
      </c>
      <c r="C367">
        <v>2376.7572511284775</v>
      </c>
      <c r="D367">
        <v>2245.8333333333335</v>
      </c>
      <c r="E367">
        <v>2682.7673259567609</v>
      </c>
      <c r="F367">
        <v>3008.8659801599997</v>
      </c>
      <c r="G367">
        <v>2749.7470238041665</v>
      </c>
      <c r="H367">
        <v>2663.6674206349212</v>
      </c>
      <c r="I367" t="s">
        <v>68</v>
      </c>
    </row>
    <row r="368" spans="1:9" x14ac:dyDescent="0.35">
      <c r="A368" t="s">
        <v>67</v>
      </c>
      <c r="B368" t="s">
        <v>31</v>
      </c>
      <c r="C368">
        <v>1888.6042962492352</v>
      </c>
      <c r="D368">
        <v>1972.9555248903368</v>
      </c>
      <c r="E368">
        <v>1507.1314985385143</v>
      </c>
      <c r="F368">
        <v>2711.7205159733289</v>
      </c>
      <c r="G368">
        <v>2399.0435226151876</v>
      </c>
      <c r="H368">
        <v>2239.9511774514772</v>
      </c>
      <c r="I368" t="s">
        <v>68</v>
      </c>
    </row>
    <row r="369" spans="1:9" x14ac:dyDescent="0.35">
      <c r="A369" t="s">
        <v>67</v>
      </c>
      <c r="B369" t="s">
        <v>32</v>
      </c>
      <c r="C369">
        <v>2861.4322110806174</v>
      </c>
      <c r="D369">
        <v>1921.6756339256181</v>
      </c>
      <c r="E369">
        <v>1974.8934099673413</v>
      </c>
      <c r="F369">
        <v>2323.8419999999996</v>
      </c>
      <c r="G369">
        <v>3255.2402217625204</v>
      </c>
      <c r="H369">
        <v>3133.1996982800588</v>
      </c>
      <c r="I369" t="s">
        <v>68</v>
      </c>
    </row>
    <row r="370" spans="1:9" x14ac:dyDescent="0.35">
      <c r="A370" t="s">
        <v>67</v>
      </c>
      <c r="B370" t="s">
        <v>33</v>
      </c>
      <c r="C370">
        <v>7607.6266442165097</v>
      </c>
      <c r="D370">
        <v>5691.833333333333</v>
      </c>
      <c r="E370">
        <v>4320.989934034119</v>
      </c>
      <c r="F370">
        <v>5373.5052677120011</v>
      </c>
      <c r="G370">
        <v>5038.3948243226978</v>
      </c>
      <c r="H370">
        <v>4583.333333333333</v>
      </c>
      <c r="I370" t="s">
        <v>68</v>
      </c>
    </row>
    <row r="371" spans="1:9" x14ac:dyDescent="0.35">
      <c r="A371" t="s">
        <v>67</v>
      </c>
      <c r="B371" t="s">
        <v>34</v>
      </c>
      <c r="C371">
        <v>1061.9481506285715</v>
      </c>
      <c r="D371">
        <v>1114.90808304699</v>
      </c>
      <c r="E371">
        <v>1134.9055547196856</v>
      </c>
      <c r="F371">
        <v>1562.9180000000001</v>
      </c>
      <c r="G371">
        <v>1452.2266373946557</v>
      </c>
      <c r="H371">
        <v>1069.501308664114</v>
      </c>
      <c r="I371" t="s">
        <v>68</v>
      </c>
    </row>
    <row r="372" spans="1:9" x14ac:dyDescent="0.35">
      <c r="A372" t="s">
        <v>67</v>
      </c>
      <c r="B372" t="s">
        <v>35</v>
      </c>
      <c r="C372">
        <v>1299.7489618685715</v>
      </c>
      <c r="D372">
        <v>1289.8809523809523</v>
      </c>
      <c r="E372">
        <v>1289.63001249686</v>
      </c>
      <c r="F372">
        <v>2128.7415104911365</v>
      </c>
      <c r="G372">
        <v>2262.1233281190771</v>
      </c>
      <c r="H372">
        <v>1565.2757580535215</v>
      </c>
      <c r="I372" t="s">
        <v>68</v>
      </c>
    </row>
    <row r="373" spans="1:9" x14ac:dyDescent="0.35">
      <c r="A373" t="s">
        <v>67</v>
      </c>
      <c r="B373" t="s">
        <v>36</v>
      </c>
      <c r="C373">
        <v>2346.489108858043</v>
      </c>
      <c r="D373">
        <v>2207.3918055654858</v>
      </c>
      <c r="E373">
        <v>2660.6723953823175</v>
      </c>
      <c r="F373">
        <v>2721.7041663999998</v>
      </c>
      <c r="G373">
        <v>2505.2654762233333</v>
      </c>
      <c r="H373">
        <v>2440.5664880952377</v>
      </c>
      <c r="I373" t="s">
        <v>68</v>
      </c>
    </row>
    <row r="374" spans="1:9" x14ac:dyDescent="0.35">
      <c r="A374" t="s">
        <v>67</v>
      </c>
      <c r="B374" t="s">
        <v>37</v>
      </c>
      <c r="C374">
        <v>2251.0212338555398</v>
      </c>
      <c r="D374">
        <v>1857.7142364627134</v>
      </c>
      <c r="E374">
        <v>1900.381975658943</v>
      </c>
      <c r="F374">
        <v>2339.0227236210135</v>
      </c>
      <c r="G374">
        <v>2124.6040454814388</v>
      </c>
      <c r="H374">
        <v>2050.8742657788994</v>
      </c>
      <c r="I374" t="s">
        <v>68</v>
      </c>
    </row>
    <row r="375" spans="1:9" x14ac:dyDescent="0.35">
      <c r="A375" t="s">
        <v>67</v>
      </c>
      <c r="B375" t="s">
        <v>38</v>
      </c>
      <c r="C375">
        <v>2453.3650652828574</v>
      </c>
      <c r="D375">
        <v>2449.6666666666665</v>
      </c>
      <c r="E375">
        <v>1987.9738371616816</v>
      </c>
      <c r="F375">
        <v>2543.8957548964986</v>
      </c>
      <c r="G375">
        <v>2371.5852701858098</v>
      </c>
      <c r="H375">
        <v>2107.7242958830966</v>
      </c>
      <c r="I375" t="s">
        <v>68</v>
      </c>
    </row>
    <row r="376" spans="1:9" x14ac:dyDescent="0.35">
      <c r="A376" t="s">
        <v>67</v>
      </c>
      <c r="B376" t="s">
        <v>39</v>
      </c>
      <c r="C376">
        <v>2127.4672771937576</v>
      </c>
      <c r="D376">
        <v>1944.4047011978116</v>
      </c>
      <c r="E376">
        <v>2210.6426202856096</v>
      </c>
      <c r="F376">
        <v>2243.1824935793602</v>
      </c>
      <c r="G376">
        <v>2011.6348877585515</v>
      </c>
      <c r="H376">
        <v>2034.4640988821091</v>
      </c>
      <c r="I376" t="s">
        <v>68</v>
      </c>
    </row>
    <row r="377" spans="1:9" x14ac:dyDescent="0.35">
      <c r="A377" t="s">
        <v>67</v>
      </c>
      <c r="B377" t="s">
        <v>40</v>
      </c>
      <c r="C377">
        <v>2679.776171071911</v>
      </c>
      <c r="D377">
        <v>2403.4122106803629</v>
      </c>
      <c r="E377">
        <v>2670.64657320579</v>
      </c>
      <c r="F377">
        <v>2690.5043296404824</v>
      </c>
      <c r="G377">
        <v>2832.8995046072164</v>
      </c>
      <c r="H377">
        <v>2341.6800218088724</v>
      </c>
      <c r="I377" t="s">
        <v>68</v>
      </c>
    </row>
    <row r="378" spans="1:9" x14ac:dyDescent="0.35">
      <c r="A378" t="s">
        <v>67</v>
      </c>
      <c r="B378" t="s">
        <v>41</v>
      </c>
      <c r="C378">
        <v>2248.2011142857145</v>
      </c>
      <c r="D378">
        <v>2376.6666666666665</v>
      </c>
      <c r="E378">
        <v>2064.0989550476183</v>
      </c>
      <c r="F378">
        <v>2491.0927999999999</v>
      </c>
      <c r="G378">
        <v>2521.2172618916666</v>
      </c>
      <c r="H378">
        <v>2140.9538095238108</v>
      </c>
      <c r="I378" t="s">
        <v>68</v>
      </c>
    </row>
    <row r="379" spans="1:9" x14ac:dyDescent="0.35">
      <c r="A379" t="s">
        <v>67</v>
      </c>
      <c r="B379" t="s">
        <v>42</v>
      </c>
      <c r="C379">
        <v>6274.0623768185305</v>
      </c>
      <c r="D379">
        <v>5983.333333333333</v>
      </c>
      <c r="E379">
        <v>4720.571917206873</v>
      </c>
      <c r="F379">
        <v>6829.5289119557219</v>
      </c>
      <c r="G379">
        <v>6555.7296860486958</v>
      </c>
      <c r="H379">
        <v>6341.8175316112684</v>
      </c>
      <c r="I379" t="s">
        <v>68</v>
      </c>
    </row>
    <row r="380" spans="1:9" x14ac:dyDescent="0.35">
      <c r="A380" t="s">
        <v>67</v>
      </c>
      <c r="B380" t="s">
        <v>43</v>
      </c>
      <c r="C380">
        <v>836.6712365152141</v>
      </c>
      <c r="D380">
        <v>931.95175438596505</v>
      </c>
      <c r="E380">
        <v>937.64870250575962</v>
      </c>
      <c r="F380">
        <v>978.35967898999991</v>
      </c>
      <c r="G380">
        <v>1555.7556128746289</v>
      </c>
      <c r="H380">
        <v>1071.3232851502976</v>
      </c>
      <c r="I380" t="s">
        <v>68</v>
      </c>
    </row>
    <row r="381" spans="1:9" x14ac:dyDescent="0.35">
      <c r="A381" t="s">
        <v>67</v>
      </c>
      <c r="B381" t="s">
        <v>44</v>
      </c>
      <c r="C381">
        <v>6597.8840375706668</v>
      </c>
      <c r="D381">
        <v>4956.9819819819822</v>
      </c>
      <c r="E381">
        <v>5013.817969642857</v>
      </c>
      <c r="F381">
        <v>5633.2237793785271</v>
      </c>
      <c r="G381">
        <v>5531.0727746952471</v>
      </c>
      <c r="H381">
        <v>5544.791666666667</v>
      </c>
      <c r="I381" t="s">
        <v>68</v>
      </c>
    </row>
    <row r="382" spans="1:9" x14ac:dyDescent="0.35">
      <c r="A382" t="s">
        <v>67</v>
      </c>
      <c r="B382" t="s">
        <v>45</v>
      </c>
      <c r="C382">
        <v>1044.0809999999999</v>
      </c>
      <c r="D382">
        <v>928.44097222222217</v>
      </c>
      <c r="E382">
        <v>925.47689115646267</v>
      </c>
      <c r="F382">
        <v>1145.7487960000001</v>
      </c>
      <c r="G382">
        <v>1064.2708333333333</v>
      </c>
      <c r="H382">
        <v>993.78626984126856</v>
      </c>
      <c r="I382" t="s">
        <v>68</v>
      </c>
    </row>
    <row r="383" spans="1:9" x14ac:dyDescent="0.35">
      <c r="A383" t="s">
        <v>67</v>
      </c>
      <c r="B383" t="s">
        <v>46</v>
      </c>
      <c r="C383">
        <v>843.90180411304482</v>
      </c>
      <c r="D383">
        <v>968.38222222222214</v>
      </c>
      <c r="E383">
        <v>884.28189239332096</v>
      </c>
      <c r="F383">
        <v>935.92075397843996</v>
      </c>
      <c r="G383">
        <v>948.94841267222228</v>
      </c>
      <c r="H383">
        <v>874.03261904761905</v>
      </c>
      <c r="I383" t="s">
        <v>68</v>
      </c>
    </row>
    <row r="384" spans="1:9" x14ac:dyDescent="0.35">
      <c r="A384" t="s">
        <v>67</v>
      </c>
      <c r="B384" t="s">
        <v>47</v>
      </c>
      <c r="C384">
        <v>7038.0035428571427</v>
      </c>
      <c r="D384">
        <v>5000</v>
      </c>
      <c r="E384">
        <v>6695.1776704520935</v>
      </c>
      <c r="F384">
        <v>6067.912464</v>
      </c>
      <c r="G384">
        <v>5629.2912246093183</v>
      </c>
      <c r="H384">
        <v>5763.9415734974791</v>
      </c>
      <c r="I384" t="s">
        <v>68</v>
      </c>
    </row>
    <row r="385" spans="1:9" x14ac:dyDescent="0.35">
      <c r="A385" t="s">
        <v>67</v>
      </c>
      <c r="B385" t="s">
        <v>48</v>
      </c>
      <c r="C385">
        <v>1156.3090017582751</v>
      </c>
      <c r="D385">
        <v>1284.4061195198331</v>
      </c>
      <c r="E385">
        <v>1063.9252476991076</v>
      </c>
      <c r="F385">
        <v>1965.6435087643572</v>
      </c>
      <c r="G385">
        <v>1496.9625670840785</v>
      </c>
      <c r="H385">
        <v>1578.7045342650524</v>
      </c>
      <c r="I385" t="s">
        <v>68</v>
      </c>
    </row>
    <row r="386" spans="1:9" x14ac:dyDescent="0.35">
      <c r="A386" t="s">
        <v>67</v>
      </c>
      <c r="B386" t="s">
        <v>49</v>
      </c>
      <c r="C386">
        <v>3154.0387311570935</v>
      </c>
      <c r="D386">
        <v>3075</v>
      </c>
      <c r="E386">
        <v>3063.2054553700227</v>
      </c>
      <c r="F386">
        <v>3588.8660074764521</v>
      </c>
      <c r="G386">
        <v>3800</v>
      </c>
      <c r="H386">
        <v>3523.670515873016</v>
      </c>
      <c r="I386" t="s">
        <v>68</v>
      </c>
    </row>
    <row r="387" spans="1:9" x14ac:dyDescent="0.35">
      <c r="A387" t="s">
        <v>67</v>
      </c>
      <c r="B387" t="s">
        <v>50</v>
      </c>
      <c r="C387">
        <v>1914.1425201966983</v>
      </c>
      <c r="D387">
        <v>1750</v>
      </c>
      <c r="E387">
        <v>1594.7318202432475</v>
      </c>
      <c r="F387">
        <v>2698.1839242535762</v>
      </c>
      <c r="G387">
        <v>2500.699007994172</v>
      </c>
      <c r="H387">
        <v>2224.5309523809524</v>
      </c>
      <c r="I387" t="s">
        <v>68</v>
      </c>
    </row>
    <row r="388" spans="1:9" x14ac:dyDescent="0.35">
      <c r="A388" t="s">
        <v>67</v>
      </c>
      <c r="B388" t="s">
        <v>51</v>
      </c>
      <c r="C388">
        <v>3979.8774276441604</v>
      </c>
      <c r="D388">
        <v>4050</v>
      </c>
      <c r="E388">
        <v>4002.2514285714287</v>
      </c>
      <c r="F388">
        <v>5744.7503644573026</v>
      </c>
      <c r="G388">
        <v>3914.3692063004164</v>
      </c>
      <c r="H388">
        <v>3746.7177028660712</v>
      </c>
      <c r="I388" t="s">
        <v>68</v>
      </c>
    </row>
    <row r="389" spans="1:9" x14ac:dyDescent="0.35">
      <c r="A389" t="s">
        <v>67</v>
      </c>
      <c r="B389" t="s">
        <v>52</v>
      </c>
      <c r="C389">
        <v>2109.2170668547433</v>
      </c>
      <c r="D389">
        <v>2250</v>
      </c>
      <c r="E389">
        <v>2169.4557248801871</v>
      </c>
      <c r="F389">
        <v>2714.3848197879879</v>
      </c>
      <c r="G389">
        <v>2702.661425200808</v>
      </c>
      <c r="H389">
        <v>2441.857786375082</v>
      </c>
      <c r="I389" t="s">
        <v>68</v>
      </c>
    </row>
    <row r="390" spans="1:9" x14ac:dyDescent="0.35">
      <c r="A390" t="s">
        <v>67</v>
      </c>
      <c r="I390" t="s">
        <v>68</v>
      </c>
    </row>
    <row r="391" spans="1:9" x14ac:dyDescent="0.35">
      <c r="A391" t="s">
        <v>67</v>
      </c>
      <c r="I391" t="s">
        <v>68</v>
      </c>
    </row>
    <row r="392" spans="1:9" x14ac:dyDescent="0.35">
      <c r="A392" t="s">
        <v>69</v>
      </c>
      <c r="B392" t="s">
        <v>10</v>
      </c>
      <c r="C392">
        <v>242.77835478839339</v>
      </c>
      <c r="D392">
        <v>253.9282557952134</v>
      </c>
      <c r="E392">
        <v>237.51593527013202</v>
      </c>
      <c r="F392">
        <v>250.83840515595503</v>
      </c>
      <c r="G392">
        <v>244.80270723573017</v>
      </c>
      <c r="H392">
        <v>242.51328107756851</v>
      </c>
      <c r="I392" t="s">
        <v>70</v>
      </c>
    </row>
    <row r="393" spans="1:9" x14ac:dyDescent="0.35">
      <c r="A393" t="s">
        <v>69</v>
      </c>
      <c r="B393" t="s">
        <v>12</v>
      </c>
      <c r="C393">
        <v>5839.3987920033542</v>
      </c>
      <c r="D393">
        <v>6323.9206934740678</v>
      </c>
      <c r="E393">
        <v>5650.3423281390578</v>
      </c>
      <c r="F393">
        <v>6364.1724737088625</v>
      </c>
      <c r="G393">
        <v>5892.7068779530427</v>
      </c>
      <c r="H393">
        <v>5866.5565833711998</v>
      </c>
      <c r="I393" t="s">
        <v>70</v>
      </c>
    </row>
    <row r="394" spans="1:9" x14ac:dyDescent="0.35">
      <c r="A394" t="s">
        <v>69</v>
      </c>
      <c r="B394" t="s">
        <v>13</v>
      </c>
      <c r="C394">
        <v>1521.9072135878948</v>
      </c>
      <c r="D394">
        <v>982.78827964877507</v>
      </c>
      <c r="E394">
        <v>1176.0367250517286</v>
      </c>
      <c r="F394">
        <v>2044.1614597641383</v>
      </c>
      <c r="G394">
        <v>1975.3232358112</v>
      </c>
      <c r="H394">
        <v>1730.8237707413964</v>
      </c>
      <c r="I394" t="s">
        <v>70</v>
      </c>
    </row>
    <row r="395" spans="1:9" x14ac:dyDescent="0.35">
      <c r="A395" t="s">
        <v>69</v>
      </c>
      <c r="B395" t="s">
        <v>14</v>
      </c>
      <c r="C395">
        <v>1478.318698124777</v>
      </c>
      <c r="D395">
        <v>864.95689471574917</v>
      </c>
      <c r="E395">
        <v>1049.8520688171557</v>
      </c>
      <c r="F395">
        <v>1979.3263609714118</v>
      </c>
      <c r="G395">
        <v>1836.4180419757033</v>
      </c>
      <c r="H395">
        <v>1521.5791008095766</v>
      </c>
      <c r="I395" t="s">
        <v>70</v>
      </c>
    </row>
    <row r="396" spans="1:9" x14ac:dyDescent="0.35">
      <c r="A396" t="s">
        <v>69</v>
      </c>
      <c r="B396" t="s">
        <v>15</v>
      </c>
      <c r="C396">
        <v>6408.30576196114</v>
      </c>
      <c r="D396">
        <v>7514.6637476828</v>
      </c>
      <c r="E396">
        <v>5921.2759557497002</v>
      </c>
      <c r="F396">
        <v>8434.0611426465184</v>
      </c>
      <c r="G396">
        <v>7136.2886880864944</v>
      </c>
      <c r="H396">
        <v>6536.829850418143</v>
      </c>
      <c r="I396" t="s">
        <v>70</v>
      </c>
    </row>
    <row r="397" spans="1:9" x14ac:dyDescent="0.35">
      <c r="A397" t="s">
        <v>69</v>
      </c>
      <c r="B397" t="s">
        <v>16</v>
      </c>
      <c r="C397">
        <v>1763.0231534984346</v>
      </c>
      <c r="D397">
        <v>1490.1274478053135</v>
      </c>
      <c r="E397">
        <v>1684.8657142857141</v>
      </c>
      <c r="F397">
        <v>1658.8423225048809</v>
      </c>
      <c r="G397">
        <v>1704.8333333333333</v>
      </c>
      <c r="H397">
        <v>1743.3775725590485</v>
      </c>
      <c r="I397" t="s">
        <v>70</v>
      </c>
    </row>
    <row r="398" spans="1:9" x14ac:dyDescent="0.35">
      <c r="A398" t="s">
        <v>69</v>
      </c>
      <c r="B398" t="s">
        <v>17</v>
      </c>
      <c r="C398">
        <v>1674.5536154935842</v>
      </c>
      <c r="D398">
        <v>1422.2105740312325</v>
      </c>
      <c r="E398">
        <v>1660.9538140331426</v>
      </c>
      <c r="F398">
        <v>1610.3275225065033</v>
      </c>
      <c r="G398">
        <v>1682.8182328352368</v>
      </c>
      <c r="H398">
        <v>1408.8333333333333</v>
      </c>
      <c r="I398" t="s">
        <v>70</v>
      </c>
    </row>
    <row r="399" spans="1:9" x14ac:dyDescent="0.35">
      <c r="A399" t="s">
        <v>69</v>
      </c>
      <c r="B399" t="s">
        <v>18</v>
      </c>
      <c r="C399">
        <v>1613.6707401914223</v>
      </c>
      <c r="D399">
        <v>1406.8332893885579</v>
      </c>
      <c r="E399">
        <v>1631.3140414049742</v>
      </c>
      <c r="F399">
        <v>2439.018476805054</v>
      </c>
      <c r="G399">
        <v>2427.7666630928447</v>
      </c>
      <c r="H399">
        <v>2209.3333333333335</v>
      </c>
      <c r="I399" t="s">
        <v>70</v>
      </c>
    </row>
    <row r="400" spans="1:9" x14ac:dyDescent="0.35">
      <c r="A400" t="s">
        <v>69</v>
      </c>
      <c r="B400" t="s">
        <v>19</v>
      </c>
      <c r="C400">
        <v>6892.0100009476837</v>
      </c>
      <c r="D400">
        <v>6639.5851494524732</v>
      </c>
      <c r="E400">
        <v>4779.2628616050179</v>
      </c>
      <c r="F400">
        <v>6793.7977866080528</v>
      </c>
      <c r="G400">
        <v>5937.7732350849765</v>
      </c>
      <c r="H400">
        <v>5745.587316848897</v>
      </c>
      <c r="I400" t="s">
        <v>70</v>
      </c>
    </row>
    <row r="401" spans="1:9" x14ac:dyDescent="0.35">
      <c r="A401" t="s">
        <v>69</v>
      </c>
      <c r="B401" t="s">
        <v>20</v>
      </c>
      <c r="C401">
        <v>4201.6691963156945</v>
      </c>
      <c r="D401">
        <v>2749.7190196739284</v>
      </c>
      <c r="E401">
        <v>2604.3221738728603</v>
      </c>
      <c r="F401">
        <v>3827.8192645151166</v>
      </c>
      <c r="G401">
        <v>4291.0552175714702</v>
      </c>
      <c r="H401">
        <v>4911.6242438006302</v>
      </c>
      <c r="I401" t="s">
        <v>70</v>
      </c>
    </row>
    <row r="402" spans="1:9" x14ac:dyDescent="0.35">
      <c r="A402" t="s">
        <v>69</v>
      </c>
      <c r="B402" t="s">
        <v>21</v>
      </c>
      <c r="C402">
        <v>6338.0385910294926</v>
      </c>
      <c r="D402">
        <v>5108.2457777777772</v>
      </c>
      <c r="E402">
        <v>4914.0814285714287</v>
      </c>
      <c r="F402">
        <v>8055.9995579654906</v>
      </c>
      <c r="G402">
        <v>5833.5035447756627</v>
      </c>
      <c r="H402">
        <v>5750</v>
      </c>
      <c r="I402" t="s">
        <v>70</v>
      </c>
    </row>
    <row r="403" spans="1:9" x14ac:dyDescent="0.35">
      <c r="A403" t="s">
        <v>69</v>
      </c>
      <c r="B403" t="s">
        <v>22</v>
      </c>
      <c r="C403">
        <v>5156.4104518593986</v>
      </c>
      <c r="D403">
        <v>4056.674815119803</v>
      </c>
      <c r="E403">
        <v>4202.9141315474153</v>
      </c>
      <c r="F403">
        <v>5419.6846189519028</v>
      </c>
      <c r="G403">
        <v>5506.8260634964054</v>
      </c>
      <c r="H403">
        <v>5552.0430107857092</v>
      </c>
      <c r="I403" t="s">
        <v>70</v>
      </c>
    </row>
    <row r="404" spans="1:9" x14ac:dyDescent="0.35">
      <c r="A404" t="s">
        <v>69</v>
      </c>
      <c r="B404" t="s">
        <v>23</v>
      </c>
      <c r="C404">
        <v>8781.0073780221701</v>
      </c>
      <c r="D404">
        <v>8505.3059325806407</v>
      </c>
      <c r="E404">
        <v>8833.2406621509108</v>
      </c>
      <c r="F404">
        <v>8604.195326816709</v>
      </c>
      <c r="G404">
        <v>7110.4518111006837</v>
      </c>
      <c r="H404">
        <v>9738.9173057288172</v>
      </c>
      <c r="I404" t="s">
        <v>70</v>
      </c>
    </row>
    <row r="405" spans="1:9" x14ac:dyDescent="0.35">
      <c r="A405" t="s">
        <v>69</v>
      </c>
      <c r="B405" t="s">
        <v>24</v>
      </c>
      <c r="C405">
        <v>7782.9772637579836</v>
      </c>
      <c r="D405">
        <v>7327.8532458388836</v>
      </c>
      <c r="E405">
        <v>5650.824368180909</v>
      </c>
      <c r="F405">
        <v>9924.9487705742813</v>
      </c>
      <c r="G405">
        <v>6712.0203687519434</v>
      </c>
      <c r="H405">
        <v>6811.1094543488316</v>
      </c>
      <c r="I405" t="s">
        <v>70</v>
      </c>
    </row>
    <row r="406" spans="1:9" x14ac:dyDescent="0.35">
      <c r="A406" t="s">
        <v>69</v>
      </c>
      <c r="B406" t="s">
        <v>25</v>
      </c>
      <c r="C406">
        <v>626.36024989542454</v>
      </c>
      <c r="D406">
        <v>718.02488628416938</v>
      </c>
      <c r="E406">
        <v>794.75757275940134</v>
      </c>
      <c r="F406">
        <v>1062.3514545338462</v>
      </c>
      <c r="G406">
        <v>974.86289433478339</v>
      </c>
      <c r="H406">
        <v>818.65957310498163</v>
      </c>
      <c r="I406" t="s">
        <v>70</v>
      </c>
    </row>
    <row r="407" spans="1:9" x14ac:dyDescent="0.35">
      <c r="A407" t="s">
        <v>69</v>
      </c>
      <c r="B407" t="s">
        <v>26</v>
      </c>
      <c r="C407">
        <v>752.67335337754309</v>
      </c>
      <c r="D407">
        <v>781.77706795417328</v>
      </c>
      <c r="E407">
        <v>844.78234073996566</v>
      </c>
      <c r="F407">
        <v>1066.5849023390181</v>
      </c>
      <c r="G407">
        <v>923.40957295267833</v>
      </c>
      <c r="H407">
        <v>1018.082604598535</v>
      </c>
      <c r="I407" t="s">
        <v>70</v>
      </c>
    </row>
    <row r="408" spans="1:9" x14ac:dyDescent="0.35">
      <c r="A408" t="s">
        <v>69</v>
      </c>
      <c r="B408" t="s">
        <v>27</v>
      </c>
      <c r="C408">
        <v>5306.6551618747544</v>
      </c>
      <c r="D408">
        <v>4056.1530579470232</v>
      </c>
      <c r="E408">
        <v>4577.9757151863141</v>
      </c>
      <c r="F408">
        <v>6101.2630025514763</v>
      </c>
      <c r="G408">
        <v>5934.1851540485322</v>
      </c>
      <c r="H408">
        <v>6635.0216375199825</v>
      </c>
      <c r="I408" t="s">
        <v>70</v>
      </c>
    </row>
    <row r="409" spans="1:9" x14ac:dyDescent="0.35">
      <c r="A409" t="s">
        <v>69</v>
      </c>
      <c r="B409" t="s">
        <v>28</v>
      </c>
      <c r="C409">
        <v>5792.0465356389986</v>
      </c>
      <c r="D409">
        <v>6833.2338989526752</v>
      </c>
      <c r="E409">
        <v>6181.257428590211</v>
      </c>
      <c r="F409">
        <v>8638.0420383760465</v>
      </c>
      <c r="G409">
        <v>7388.6349580351352</v>
      </c>
      <c r="H409">
        <v>7231.1244838015273</v>
      </c>
      <c r="I409" t="s">
        <v>70</v>
      </c>
    </row>
    <row r="410" spans="1:9" x14ac:dyDescent="0.35">
      <c r="A410" t="s">
        <v>69</v>
      </c>
      <c r="B410" t="s">
        <v>29</v>
      </c>
      <c r="C410">
        <v>2973.1760414629398</v>
      </c>
      <c r="D410">
        <v>3359.024270112905</v>
      </c>
      <c r="E410">
        <v>3326.9194089601328</v>
      </c>
      <c r="F410">
        <v>3203.8104490495243</v>
      </c>
      <c r="G410">
        <v>3918.6242118385467</v>
      </c>
      <c r="H410">
        <v>3275.1832759810491</v>
      </c>
      <c r="I410" t="s">
        <v>70</v>
      </c>
    </row>
    <row r="411" spans="1:9" x14ac:dyDescent="0.35">
      <c r="A411" t="s">
        <v>69</v>
      </c>
      <c r="B411" t="s">
        <v>30</v>
      </c>
      <c r="C411">
        <v>2381.2663562606003</v>
      </c>
      <c r="D411">
        <v>2996.2336579079747</v>
      </c>
      <c r="E411">
        <v>2610.8162476824327</v>
      </c>
      <c r="F411">
        <v>2790.6297456575921</v>
      </c>
      <c r="G411">
        <v>2578.6974778581784</v>
      </c>
      <c r="H411">
        <v>2738.0164429071719</v>
      </c>
      <c r="I411" t="s">
        <v>70</v>
      </c>
    </row>
    <row r="412" spans="1:9" x14ac:dyDescent="0.35">
      <c r="A412" t="s">
        <v>69</v>
      </c>
      <c r="B412" t="s">
        <v>31</v>
      </c>
      <c r="C412">
        <v>1527.3364930041701</v>
      </c>
      <c r="D412">
        <v>1521.0401001327243</v>
      </c>
      <c r="E412">
        <v>1170.3338500889201</v>
      </c>
      <c r="F412">
        <v>2283.5113118407071</v>
      </c>
      <c r="G412">
        <v>2137.9300189674932</v>
      </c>
      <c r="H412">
        <v>1816.8432919994668</v>
      </c>
      <c r="I412" t="s">
        <v>70</v>
      </c>
    </row>
    <row r="413" spans="1:9" x14ac:dyDescent="0.35">
      <c r="A413" t="s">
        <v>69</v>
      </c>
      <c r="B413" t="s">
        <v>32</v>
      </c>
      <c r="C413">
        <v>2253.6757284881437</v>
      </c>
      <c r="D413">
        <v>1510.5144721990935</v>
      </c>
      <c r="E413">
        <v>1759.5807307772084</v>
      </c>
      <c r="F413">
        <v>1976.0518442679822</v>
      </c>
      <c r="G413">
        <v>3185.880890023715</v>
      </c>
      <c r="H413">
        <v>2590.2843101660069</v>
      </c>
      <c r="I413" t="s">
        <v>70</v>
      </c>
    </row>
    <row r="414" spans="1:9" x14ac:dyDescent="0.35">
      <c r="A414" t="s">
        <v>69</v>
      </c>
      <c r="B414" t="s">
        <v>33</v>
      </c>
      <c r="C414">
        <v>7632.4238918033998</v>
      </c>
      <c r="D414">
        <v>5843.5370964255171</v>
      </c>
      <c r="E414">
        <v>4460.0984587035482</v>
      </c>
      <c r="F414">
        <v>6309.3068629544887</v>
      </c>
      <c r="G414">
        <v>5474.2015907457835</v>
      </c>
      <c r="H414">
        <v>5197.6605464306895</v>
      </c>
      <c r="I414" t="s">
        <v>70</v>
      </c>
    </row>
    <row r="415" spans="1:9" x14ac:dyDescent="0.35">
      <c r="A415" t="s">
        <v>69</v>
      </c>
      <c r="B415" t="s">
        <v>34</v>
      </c>
      <c r="C415">
        <v>694.70066349996853</v>
      </c>
      <c r="D415">
        <v>508.89651893058959</v>
      </c>
      <c r="E415">
        <v>870.66062186801616</v>
      </c>
      <c r="F415">
        <v>1164.9735949494379</v>
      </c>
      <c r="G415">
        <v>1100.5318248253282</v>
      </c>
      <c r="H415">
        <v>796.7699233781326</v>
      </c>
      <c r="I415" t="s">
        <v>70</v>
      </c>
    </row>
    <row r="416" spans="1:9" x14ac:dyDescent="0.35">
      <c r="A416" t="s">
        <v>69</v>
      </c>
      <c r="B416" t="s">
        <v>35</v>
      </c>
      <c r="C416">
        <v>988.96546676085677</v>
      </c>
      <c r="D416">
        <v>1471.3019704190538</v>
      </c>
      <c r="E416">
        <v>961.17166071341148</v>
      </c>
      <c r="F416">
        <v>1972.8564494419556</v>
      </c>
      <c r="G416">
        <v>1586.4784671518885</v>
      </c>
      <c r="H416">
        <v>1241.7429714053198</v>
      </c>
      <c r="I416" t="s">
        <v>70</v>
      </c>
    </row>
    <row r="417" spans="1:9" x14ac:dyDescent="0.35">
      <c r="A417" t="s">
        <v>69</v>
      </c>
      <c r="B417" t="s">
        <v>36</v>
      </c>
      <c r="C417">
        <v>2369.0841338769028</v>
      </c>
      <c r="D417">
        <v>2465.1262678172529</v>
      </c>
      <c r="E417">
        <v>2615.2294865263857</v>
      </c>
      <c r="F417">
        <v>2625.3175272444</v>
      </c>
      <c r="G417">
        <v>2397.9986485544728</v>
      </c>
      <c r="H417">
        <v>2604.6037566692135</v>
      </c>
      <c r="I417" t="s">
        <v>70</v>
      </c>
    </row>
    <row r="418" spans="1:9" x14ac:dyDescent="0.35">
      <c r="A418" t="s">
        <v>69</v>
      </c>
      <c r="B418" t="s">
        <v>37</v>
      </c>
      <c r="C418">
        <v>2277.4129785292153</v>
      </c>
      <c r="D418">
        <v>1931.5042469691132</v>
      </c>
      <c r="E418">
        <v>1910.2543511498745</v>
      </c>
      <c r="F418">
        <v>2269.5569571853785</v>
      </c>
      <c r="G418">
        <v>2227.4586381408812</v>
      </c>
      <c r="H418">
        <v>2221.4751021036814</v>
      </c>
      <c r="I418" t="s">
        <v>70</v>
      </c>
    </row>
    <row r="419" spans="1:9" x14ac:dyDescent="0.35">
      <c r="A419" t="s">
        <v>69</v>
      </c>
      <c r="B419" t="s">
        <v>38</v>
      </c>
      <c r="C419">
        <v>2486.4904926322765</v>
      </c>
      <c r="D419">
        <v>1949.4543813643793</v>
      </c>
      <c r="E419">
        <v>1981.8558168846696</v>
      </c>
      <c r="F419">
        <v>2359.8095249465637</v>
      </c>
      <c r="G419">
        <v>2305.0973017376919</v>
      </c>
      <c r="H419">
        <v>2145.671462251602</v>
      </c>
      <c r="I419" t="s">
        <v>70</v>
      </c>
    </row>
    <row r="420" spans="1:9" x14ac:dyDescent="0.35">
      <c r="A420" t="s">
        <v>69</v>
      </c>
      <c r="B420" t="s">
        <v>39</v>
      </c>
      <c r="C420">
        <v>2019.4475284905698</v>
      </c>
      <c r="D420">
        <v>1608.5395970114375</v>
      </c>
      <c r="E420">
        <v>1863.3245370581899</v>
      </c>
      <c r="F420">
        <v>1879.2863525083092</v>
      </c>
      <c r="G420">
        <v>1834.5246488876348</v>
      </c>
      <c r="H420">
        <v>1942.9822855879038</v>
      </c>
      <c r="I420" t="s">
        <v>70</v>
      </c>
    </row>
    <row r="421" spans="1:9" x14ac:dyDescent="0.35">
      <c r="A421" t="s">
        <v>69</v>
      </c>
      <c r="B421" t="s">
        <v>40</v>
      </c>
      <c r="C421">
        <v>2501.6576572893996</v>
      </c>
      <c r="D421">
        <v>1983.4998278990181</v>
      </c>
      <c r="E421">
        <v>2095.0234458706409</v>
      </c>
      <c r="F421">
        <v>2170.4101751513781</v>
      </c>
      <c r="G421">
        <v>2324.2670150514282</v>
      </c>
      <c r="H421">
        <v>2207.975338038987</v>
      </c>
      <c r="I421" t="s">
        <v>70</v>
      </c>
    </row>
    <row r="422" spans="1:9" x14ac:dyDescent="0.35">
      <c r="A422" t="s">
        <v>69</v>
      </c>
      <c r="B422" t="s">
        <v>41</v>
      </c>
      <c r="C422">
        <v>2264.7162398487494</v>
      </c>
      <c r="D422">
        <v>2478.6731137037036</v>
      </c>
      <c r="E422">
        <v>1954.4851782004571</v>
      </c>
      <c r="F422">
        <v>2638.7995672649481</v>
      </c>
      <c r="G422">
        <v>2715.7977777777783</v>
      </c>
      <c r="H422">
        <v>2239.9551113554767</v>
      </c>
      <c r="I422" t="s">
        <v>70</v>
      </c>
    </row>
    <row r="423" spans="1:9" x14ac:dyDescent="0.35">
      <c r="A423" t="s">
        <v>69</v>
      </c>
      <c r="B423" t="s">
        <v>42</v>
      </c>
      <c r="C423">
        <v>6320.5700500390931</v>
      </c>
      <c r="D423">
        <v>6560.3764711449849</v>
      </c>
      <c r="E423">
        <v>4872.5348915022159</v>
      </c>
      <c r="F423">
        <v>7065.6777172623497</v>
      </c>
      <c r="G423">
        <v>6952.4719580055089</v>
      </c>
      <c r="H423">
        <v>6290</v>
      </c>
      <c r="I423" t="s">
        <v>70</v>
      </c>
    </row>
    <row r="424" spans="1:9" x14ac:dyDescent="0.35">
      <c r="A424" t="s">
        <v>69</v>
      </c>
      <c r="B424" t="s">
        <v>43</v>
      </c>
      <c r="C424">
        <v>644.44859733026897</v>
      </c>
      <c r="D424">
        <v>736.42217526351794</v>
      </c>
      <c r="E424">
        <v>608.6887291584344</v>
      </c>
      <c r="F424">
        <v>895.80726130481798</v>
      </c>
      <c r="G424">
        <v>1340.02775223455</v>
      </c>
      <c r="H424">
        <v>708.08866048572202</v>
      </c>
      <c r="I424" t="s">
        <v>70</v>
      </c>
    </row>
    <row r="425" spans="1:9" x14ac:dyDescent="0.35">
      <c r="A425" t="s">
        <v>69</v>
      </c>
      <c r="B425" t="s">
        <v>44</v>
      </c>
      <c r="C425">
        <v>6625.4096778518515</v>
      </c>
      <c r="D425">
        <v>5960.5896896591812</v>
      </c>
      <c r="E425">
        <v>4684.5834714416678</v>
      </c>
      <c r="F425">
        <v>6260.317219107822</v>
      </c>
      <c r="G425">
        <v>5836.0935180653769</v>
      </c>
      <c r="H425">
        <v>6053.9597731761214</v>
      </c>
      <c r="I425" t="s">
        <v>70</v>
      </c>
    </row>
    <row r="426" spans="1:9" x14ac:dyDescent="0.35">
      <c r="A426" t="s">
        <v>69</v>
      </c>
      <c r="B426" t="s">
        <v>45</v>
      </c>
      <c r="C426">
        <v>1050.9378376574903</v>
      </c>
      <c r="D426">
        <v>1128.0652137597217</v>
      </c>
      <c r="E426">
        <v>881.85400887145272</v>
      </c>
      <c r="F426">
        <v>1111.6472825878773</v>
      </c>
      <c r="G426">
        <v>1152.2813789682532</v>
      </c>
      <c r="H426">
        <v>1055.270576785713</v>
      </c>
      <c r="I426" t="s">
        <v>70</v>
      </c>
    </row>
    <row r="427" spans="1:9" x14ac:dyDescent="0.35">
      <c r="A427" t="s">
        <v>69</v>
      </c>
      <c r="B427" t="s">
        <v>46</v>
      </c>
      <c r="C427">
        <v>854.57572723317855</v>
      </c>
      <c r="D427">
        <v>1160.9573167303695</v>
      </c>
      <c r="E427">
        <v>878.12592959776862</v>
      </c>
      <c r="F427">
        <v>945.33244112552256</v>
      </c>
      <c r="G427">
        <v>987.90716702591351</v>
      </c>
      <c r="H427">
        <v>904.94959437015848</v>
      </c>
      <c r="I427" t="s">
        <v>70</v>
      </c>
    </row>
    <row r="428" spans="1:9" x14ac:dyDescent="0.35">
      <c r="A428" t="s">
        <v>69</v>
      </c>
      <c r="B428" t="s">
        <v>47</v>
      </c>
      <c r="C428">
        <v>7073.5486513987153</v>
      </c>
      <c r="D428">
        <v>5825.6187061877599</v>
      </c>
      <c r="E428">
        <v>6799.8043790257534</v>
      </c>
      <c r="F428">
        <v>6627.1648080011237</v>
      </c>
      <c r="G428">
        <v>6096.6765382150434</v>
      </c>
      <c r="H428">
        <v>5918.8781038081679</v>
      </c>
      <c r="I428" t="s">
        <v>70</v>
      </c>
    </row>
    <row r="429" spans="1:9" x14ac:dyDescent="0.35">
      <c r="A429" t="s">
        <v>69</v>
      </c>
      <c r="B429" t="s">
        <v>48</v>
      </c>
      <c r="C429">
        <v>1024.1087544100246</v>
      </c>
      <c r="D429">
        <v>1110.9650206214167</v>
      </c>
      <c r="E429">
        <v>867.70464805381005</v>
      </c>
      <c r="F429">
        <v>1763.839437336746</v>
      </c>
      <c r="G429">
        <v>1568.2674751877</v>
      </c>
      <c r="H429">
        <v>1309.1023644724501</v>
      </c>
      <c r="I429" t="s">
        <v>70</v>
      </c>
    </row>
    <row r="430" spans="1:9" x14ac:dyDescent="0.35">
      <c r="A430" t="s">
        <v>69</v>
      </c>
      <c r="B430" t="s">
        <v>49</v>
      </c>
      <c r="C430">
        <v>3176.874711210608</v>
      </c>
      <c r="D430">
        <v>3115.4613635040223</v>
      </c>
      <c r="E430">
        <v>2921.6496963231643</v>
      </c>
      <c r="F430">
        <v>3751.5098306828963</v>
      </c>
      <c r="G430">
        <v>3750.5101894841268</v>
      </c>
      <c r="H430">
        <v>3024.1880482058787</v>
      </c>
      <c r="I430" t="s">
        <v>70</v>
      </c>
    </row>
    <row r="431" spans="1:9" x14ac:dyDescent="0.35">
      <c r="A431" t="s">
        <v>69</v>
      </c>
      <c r="B431" t="s">
        <v>50</v>
      </c>
      <c r="C431">
        <v>1899.4894736305196</v>
      </c>
      <c r="D431">
        <v>1926.9906248636255</v>
      </c>
      <c r="E431">
        <v>1596.6510641990158</v>
      </c>
      <c r="F431">
        <v>2664.6360147859241</v>
      </c>
      <c r="G431">
        <v>2476.0256272732149</v>
      </c>
      <c r="H431">
        <v>2376.6529706276656</v>
      </c>
      <c r="I431" t="s">
        <v>70</v>
      </c>
    </row>
    <row r="432" spans="1:9" x14ac:dyDescent="0.35">
      <c r="A432" t="s">
        <v>69</v>
      </c>
      <c r="B432" t="s">
        <v>51</v>
      </c>
      <c r="C432">
        <v>4003.3625045102776</v>
      </c>
      <c r="D432">
        <v>3706.572330094692</v>
      </c>
      <c r="E432">
        <v>3555.0551113429619</v>
      </c>
      <c r="F432">
        <v>4331.7095419115849</v>
      </c>
      <c r="G432">
        <v>3750.6577726722221</v>
      </c>
      <c r="H432">
        <v>3600.8322255376515</v>
      </c>
      <c r="I432" t="s">
        <v>70</v>
      </c>
    </row>
    <row r="433" spans="1:9" x14ac:dyDescent="0.35">
      <c r="A433" t="s">
        <v>69</v>
      </c>
      <c r="B433" t="s">
        <v>52</v>
      </c>
      <c r="C433">
        <v>1661.8758375960792</v>
      </c>
      <c r="D433">
        <v>1863.9677785830743</v>
      </c>
      <c r="E433">
        <v>1997.9858174476688</v>
      </c>
      <c r="F433">
        <v>2480.4814726995401</v>
      </c>
      <c r="G433">
        <v>2477.2421271267167</v>
      </c>
      <c r="H433">
        <v>1874.7027740062915</v>
      </c>
      <c r="I433" t="s">
        <v>70</v>
      </c>
    </row>
    <row r="434" spans="1:9" x14ac:dyDescent="0.35">
      <c r="A434" t="s">
        <v>69</v>
      </c>
      <c r="I434" t="s">
        <v>70</v>
      </c>
    </row>
    <row r="435" spans="1:9" x14ac:dyDescent="0.35">
      <c r="A435" t="s">
        <v>69</v>
      </c>
      <c r="I435" t="s">
        <v>70</v>
      </c>
    </row>
    <row r="436" spans="1:9" x14ac:dyDescent="0.35">
      <c r="A436" t="s">
        <v>71</v>
      </c>
      <c r="B436" t="s">
        <v>10</v>
      </c>
      <c r="C436">
        <v>245.68972190667341</v>
      </c>
      <c r="D436">
        <v>269.61710484994165</v>
      </c>
      <c r="E436">
        <v>241.59411624942081</v>
      </c>
      <c r="F436">
        <v>271.6457979006226</v>
      </c>
      <c r="G436">
        <v>246.61326190476186</v>
      </c>
      <c r="H436">
        <v>247.77539484126979</v>
      </c>
      <c r="I436" t="s">
        <v>72</v>
      </c>
    </row>
    <row r="437" spans="1:9" x14ac:dyDescent="0.35">
      <c r="A437" t="s">
        <v>71</v>
      </c>
      <c r="B437" t="s">
        <v>12</v>
      </c>
      <c r="C437">
        <v>5841.3183515108049</v>
      </c>
      <c r="D437">
        <v>6357.7244700607298</v>
      </c>
      <c r="E437">
        <v>5654.0362410409098</v>
      </c>
      <c r="F437">
        <v>6453.2163700796937</v>
      </c>
      <c r="G437">
        <v>5896.8667628968251</v>
      </c>
      <c r="H437">
        <v>5913.3710793650789</v>
      </c>
      <c r="I437" t="s">
        <v>72</v>
      </c>
    </row>
    <row r="438" spans="1:9" x14ac:dyDescent="0.35">
      <c r="A438" t="s">
        <v>71</v>
      </c>
      <c r="B438" t="s">
        <v>13</v>
      </c>
      <c r="C438">
        <v>1627.5932078020353</v>
      </c>
      <c r="D438">
        <v>1543.664035816445</v>
      </c>
      <c r="E438">
        <v>1349.2250491235013</v>
      </c>
      <c r="F438">
        <v>2105.9434597641384</v>
      </c>
      <c r="G438">
        <v>2003.6901171530883</v>
      </c>
      <c r="H438">
        <v>2081.3257969547467</v>
      </c>
      <c r="I438" t="s">
        <v>72</v>
      </c>
    </row>
    <row r="439" spans="1:9" x14ac:dyDescent="0.35">
      <c r="A439" t="s">
        <v>71</v>
      </c>
      <c r="B439" t="s">
        <v>14</v>
      </c>
      <c r="C439">
        <v>1552.3534832591081</v>
      </c>
      <c r="D439">
        <v>1365.5897869112825</v>
      </c>
      <c r="E439">
        <v>1190.938912164703</v>
      </c>
      <c r="F439">
        <v>1991.9063609714121</v>
      </c>
      <c r="G439">
        <v>1865.8105379349647</v>
      </c>
      <c r="H439">
        <v>1699.7105188367004</v>
      </c>
      <c r="I439" t="s">
        <v>72</v>
      </c>
    </row>
    <row r="440" spans="1:9" x14ac:dyDescent="0.35">
      <c r="A440" t="s">
        <v>71</v>
      </c>
      <c r="B440" t="s">
        <v>15</v>
      </c>
      <c r="C440">
        <v>6406.9993705153911</v>
      </c>
      <c r="D440">
        <v>7316.5761998628923</v>
      </c>
      <c r="E440">
        <v>5850.4360236273933</v>
      </c>
      <c r="F440">
        <v>8364.9460432485685</v>
      </c>
      <c r="G440">
        <v>7126.9428188859501</v>
      </c>
      <c r="H440">
        <v>6530.1609498255266</v>
      </c>
      <c r="I440" t="s">
        <v>72</v>
      </c>
    </row>
    <row r="441" spans="1:9" x14ac:dyDescent="0.35">
      <c r="A441" t="s">
        <v>71</v>
      </c>
      <c r="B441" t="s">
        <v>16</v>
      </c>
      <c r="C441">
        <v>1762.021238496684</v>
      </c>
      <c r="D441">
        <v>1486.8497233179185</v>
      </c>
      <c r="E441">
        <v>1702.2841667142857</v>
      </c>
      <c r="F441">
        <v>1649.9346155961321</v>
      </c>
      <c r="G441">
        <v>1698.6666666666667</v>
      </c>
      <c r="H441">
        <v>1730.1426666666669</v>
      </c>
      <c r="I441" t="s">
        <v>72</v>
      </c>
    </row>
    <row r="442" spans="1:9" x14ac:dyDescent="0.35">
      <c r="A442" t="s">
        <v>71</v>
      </c>
      <c r="B442" t="s">
        <v>17</v>
      </c>
      <c r="C442">
        <v>1673.1884287952478</v>
      </c>
      <c r="D442">
        <v>1458.9527341124819</v>
      </c>
      <c r="E442">
        <v>1682.8447458662342</v>
      </c>
      <c r="F442">
        <v>1582.31133619398</v>
      </c>
      <c r="G442">
        <v>1674.6324466269832</v>
      </c>
      <c r="H442">
        <v>1399.8898492063483</v>
      </c>
      <c r="I442" t="s">
        <v>72</v>
      </c>
    </row>
    <row r="443" spans="1:9" x14ac:dyDescent="0.35">
      <c r="A443" t="s">
        <v>71</v>
      </c>
      <c r="B443" t="s">
        <v>18</v>
      </c>
      <c r="C443">
        <v>1611.018786360117</v>
      </c>
      <c r="D443">
        <v>1526.7150914467841</v>
      </c>
      <c r="E443">
        <v>1588.9748674713771</v>
      </c>
      <c r="F443">
        <v>2426.1242774457401</v>
      </c>
      <c r="G443">
        <v>2422.1976211215347</v>
      </c>
      <c r="H443">
        <v>2198.101524382882</v>
      </c>
      <c r="I443" t="s">
        <v>72</v>
      </c>
    </row>
    <row r="444" spans="1:9" x14ac:dyDescent="0.35">
      <c r="A444" t="s">
        <v>71</v>
      </c>
      <c r="B444" t="s">
        <v>19</v>
      </c>
      <c r="C444">
        <v>6890.4971379512508</v>
      </c>
      <c r="D444">
        <v>6539.5730955146391</v>
      </c>
      <c r="E444">
        <v>4687.7833279577389</v>
      </c>
      <c r="F444">
        <v>6760.1018196789082</v>
      </c>
      <c r="G444">
        <v>5937.1021414621282</v>
      </c>
      <c r="H444">
        <v>5672.8093333333336</v>
      </c>
      <c r="I444" t="s">
        <v>72</v>
      </c>
    </row>
    <row r="445" spans="1:9" x14ac:dyDescent="0.35">
      <c r="A445" t="s">
        <v>71</v>
      </c>
      <c r="B445" t="s">
        <v>20</v>
      </c>
      <c r="C445">
        <v>4200.239729855547</v>
      </c>
      <c r="D445">
        <v>2822.3249266094904</v>
      </c>
      <c r="E445">
        <v>2621.6567673739751</v>
      </c>
      <c r="F445">
        <v>3778.5123100246856</v>
      </c>
      <c r="G445">
        <v>4273.7017506741931</v>
      </c>
      <c r="H445">
        <v>4853.6518771929814</v>
      </c>
      <c r="I445" t="s">
        <v>72</v>
      </c>
    </row>
    <row r="446" spans="1:9" x14ac:dyDescent="0.35">
      <c r="A446" t="s">
        <v>71</v>
      </c>
      <c r="B446" t="s">
        <v>21</v>
      </c>
      <c r="C446">
        <v>6336.6493679809564</v>
      </c>
      <c r="D446">
        <v>5106.4874444444449</v>
      </c>
      <c r="E446">
        <v>4903.5714285714284</v>
      </c>
      <c r="F446">
        <v>7946.4052748263293</v>
      </c>
      <c r="G446">
        <v>5822.7780501043635</v>
      </c>
      <c r="H446">
        <v>5715.1426666666666</v>
      </c>
      <c r="I446" t="s">
        <v>72</v>
      </c>
    </row>
    <row r="447" spans="1:9" x14ac:dyDescent="0.35">
      <c r="A447" t="s">
        <v>71</v>
      </c>
      <c r="B447" t="s">
        <v>22</v>
      </c>
      <c r="C447">
        <v>5154.6438381622766</v>
      </c>
      <c r="D447">
        <v>4221.3657168971349</v>
      </c>
      <c r="E447">
        <v>4107.5744655120679</v>
      </c>
      <c r="F447">
        <v>5365.6943937836959</v>
      </c>
      <c r="G447">
        <v>5492.9890636312994</v>
      </c>
      <c r="H447">
        <v>5505.7778843382621</v>
      </c>
      <c r="I447" t="s">
        <v>72</v>
      </c>
    </row>
    <row r="448" spans="1:9" x14ac:dyDescent="0.35">
      <c r="A448" t="s">
        <v>71</v>
      </c>
      <c r="B448" t="s">
        <v>23</v>
      </c>
      <c r="C448">
        <v>8777.7859219616439</v>
      </c>
      <c r="D448">
        <v>9029.3571661438236</v>
      </c>
      <c r="E448">
        <v>8862.0868156632387</v>
      </c>
      <c r="F448">
        <v>8559.2955698322585</v>
      </c>
      <c r="G448">
        <v>7140.3597553697809</v>
      </c>
      <c r="H448">
        <v>9707.2536501322702</v>
      </c>
      <c r="I448" t="s">
        <v>72</v>
      </c>
    </row>
    <row r="449" spans="1:9" x14ac:dyDescent="0.35">
      <c r="A449" t="s">
        <v>71</v>
      </c>
      <c r="B449" t="s">
        <v>24</v>
      </c>
      <c r="C449">
        <v>7780.5322000870365</v>
      </c>
      <c r="D449">
        <v>7240.8555588701556</v>
      </c>
      <c r="E449">
        <v>5475.7805604058021</v>
      </c>
      <c r="F449">
        <v>9997.442491660524</v>
      </c>
      <c r="G449">
        <v>6688.4192403913048</v>
      </c>
      <c r="H449">
        <v>6756.0546307623654</v>
      </c>
      <c r="I449" t="s">
        <v>72</v>
      </c>
    </row>
    <row r="450" spans="1:9" x14ac:dyDescent="0.35">
      <c r="A450" t="s">
        <v>71</v>
      </c>
      <c r="B450" t="s">
        <v>25</v>
      </c>
      <c r="C450">
        <v>630.43784979353381</v>
      </c>
      <c r="D450">
        <v>724.65338573737165</v>
      </c>
      <c r="E450">
        <v>840.38940435553707</v>
      </c>
      <c r="F450">
        <v>1066.8514545338462</v>
      </c>
      <c r="G450">
        <v>980.4412380832772</v>
      </c>
      <c r="H450">
        <v>911.14172701911536</v>
      </c>
      <c r="I450" t="s">
        <v>72</v>
      </c>
    </row>
    <row r="451" spans="1:9" x14ac:dyDescent="0.35">
      <c r="A451" t="s">
        <v>71</v>
      </c>
      <c r="B451" t="s">
        <v>26</v>
      </c>
      <c r="C451">
        <v>756.56823108540993</v>
      </c>
      <c r="D451">
        <v>809.52479545412677</v>
      </c>
      <c r="E451">
        <v>903.20639960718711</v>
      </c>
      <c r="F451">
        <v>1093.0849023390181</v>
      </c>
      <c r="G451">
        <v>939.96136355106466</v>
      </c>
      <c r="H451">
        <v>1110.022174980196</v>
      </c>
      <c r="I451" t="s">
        <v>72</v>
      </c>
    </row>
    <row r="452" spans="1:9" x14ac:dyDescent="0.35">
      <c r="A452" t="s">
        <v>71</v>
      </c>
      <c r="B452" t="s">
        <v>27</v>
      </c>
      <c r="C452">
        <v>5308.994463953165</v>
      </c>
      <c r="D452">
        <v>4412.5440004252587</v>
      </c>
      <c r="E452">
        <v>4456.8297640687324</v>
      </c>
      <c r="F452">
        <v>6055.3099277455603</v>
      </c>
      <c r="G452">
        <v>5913.3901649478394</v>
      </c>
      <c r="H452">
        <v>6626.5048497893431</v>
      </c>
      <c r="I452" t="s">
        <v>72</v>
      </c>
    </row>
    <row r="453" spans="1:9" x14ac:dyDescent="0.35">
      <c r="A453" t="s">
        <v>71</v>
      </c>
      <c r="B453" t="s">
        <v>28</v>
      </c>
      <c r="C453">
        <v>5789.3541213013623</v>
      </c>
      <c r="D453">
        <v>7029.7831969860281</v>
      </c>
      <c r="E453">
        <v>6084.3561183276206</v>
      </c>
      <c r="F453">
        <v>8450.4110532527229</v>
      </c>
      <c r="G453">
        <v>7376.1106404384373</v>
      </c>
      <c r="H453">
        <v>7196.6606119929447</v>
      </c>
      <c r="I453" t="s">
        <v>72</v>
      </c>
    </row>
    <row r="454" spans="1:9" x14ac:dyDescent="0.35">
      <c r="A454" t="s">
        <v>71</v>
      </c>
      <c r="B454" t="s">
        <v>29</v>
      </c>
      <c r="C454">
        <v>2971.8368482139012</v>
      </c>
      <c r="D454">
        <v>3371.8036438254344</v>
      </c>
      <c r="E454">
        <v>3243.9042254328388</v>
      </c>
      <c r="F454">
        <v>3088.0271181023863</v>
      </c>
      <c r="G454">
        <v>3900.0001820833331</v>
      </c>
      <c r="H454">
        <v>3234.7999583333331</v>
      </c>
      <c r="I454" t="s">
        <v>72</v>
      </c>
    </row>
    <row r="455" spans="1:9" x14ac:dyDescent="0.35">
      <c r="A455" t="s">
        <v>71</v>
      </c>
      <c r="B455" t="s">
        <v>30</v>
      </c>
      <c r="C455">
        <v>2382.2955248782118</v>
      </c>
      <c r="D455">
        <v>2929.4885964445198</v>
      </c>
      <c r="E455">
        <v>2595.6896362757143</v>
      </c>
      <c r="F455">
        <v>2735.4966093104117</v>
      </c>
      <c r="G455">
        <v>2560.7923194841283</v>
      </c>
      <c r="H455">
        <v>2701.6985198412699</v>
      </c>
      <c r="I455" t="s">
        <v>72</v>
      </c>
    </row>
    <row r="456" spans="1:9" x14ac:dyDescent="0.35">
      <c r="A456" t="s">
        <v>71</v>
      </c>
      <c r="B456" t="s">
        <v>31</v>
      </c>
      <c r="C456">
        <v>1365.226729133982</v>
      </c>
      <c r="D456">
        <v>1168.7154683139233</v>
      </c>
      <c r="E456">
        <v>1020.9542686978457</v>
      </c>
      <c r="F456">
        <v>2175.7395849885402</v>
      </c>
      <c r="G456">
        <v>2121.6998216321804</v>
      </c>
      <c r="H456">
        <v>1777.7376730355502</v>
      </c>
      <c r="I456" t="s">
        <v>72</v>
      </c>
    </row>
    <row r="457" spans="1:9" x14ac:dyDescent="0.35">
      <c r="A457" t="s">
        <v>71</v>
      </c>
      <c r="B457" t="s">
        <v>32</v>
      </c>
      <c r="C457">
        <v>2261.6338642286946</v>
      </c>
      <c r="D457">
        <v>1729.5398492491668</v>
      </c>
      <c r="E457">
        <v>1776.314418885833</v>
      </c>
      <c r="F457">
        <v>2078.9486816808981</v>
      </c>
      <c r="G457">
        <v>3295.1389668355409</v>
      </c>
      <c r="H457">
        <v>2783.5059927662965</v>
      </c>
      <c r="I457" t="s">
        <v>72</v>
      </c>
    </row>
    <row r="458" spans="1:9" x14ac:dyDescent="0.35">
      <c r="A458" t="s">
        <v>71</v>
      </c>
      <c r="B458" t="s">
        <v>33</v>
      </c>
      <c r="C458">
        <v>7633.4683303166721</v>
      </c>
      <c r="D458">
        <v>5908.5734874527252</v>
      </c>
      <c r="E458">
        <v>4396.2632002564451</v>
      </c>
      <c r="F458">
        <v>6030.6195685167986</v>
      </c>
      <c r="G458">
        <v>5462.9128484001585</v>
      </c>
      <c r="H458">
        <v>5143.2984437554769</v>
      </c>
      <c r="I458" t="s">
        <v>72</v>
      </c>
    </row>
    <row r="459" spans="1:9" x14ac:dyDescent="0.35">
      <c r="A459" t="s">
        <v>71</v>
      </c>
      <c r="B459" t="s">
        <v>34</v>
      </c>
      <c r="C459">
        <v>700.8734825333878</v>
      </c>
      <c r="D459">
        <v>795.4644528764278</v>
      </c>
      <c r="E459">
        <v>876.33886946261214</v>
      </c>
      <c r="F459">
        <v>1177.1072047980679</v>
      </c>
      <c r="G459">
        <v>1114.3043008602206</v>
      </c>
      <c r="H459">
        <v>848.43102901342775</v>
      </c>
      <c r="I459" t="s">
        <v>72</v>
      </c>
    </row>
    <row r="460" spans="1:9" x14ac:dyDescent="0.35">
      <c r="A460" t="s">
        <v>71</v>
      </c>
      <c r="B460" t="s">
        <v>35</v>
      </c>
      <c r="C460">
        <v>1033.3582772383133</v>
      </c>
      <c r="D460">
        <v>1477.774114229617</v>
      </c>
      <c r="E460">
        <v>997.57755442739006</v>
      </c>
      <c r="F460">
        <v>1950.8814524364657</v>
      </c>
      <c r="G460">
        <v>1647.4735404841349</v>
      </c>
      <c r="H460">
        <v>1317.5886027813929</v>
      </c>
      <c r="I460" t="s">
        <v>72</v>
      </c>
    </row>
    <row r="461" spans="1:9" x14ac:dyDescent="0.35">
      <c r="A461" t="s">
        <v>71</v>
      </c>
      <c r="B461" t="s">
        <v>36</v>
      </c>
      <c r="C461">
        <v>2367.8306307554558</v>
      </c>
      <c r="D461">
        <v>2569.3668224125499</v>
      </c>
      <c r="E461">
        <v>2623.2530647143099</v>
      </c>
      <c r="F461">
        <v>2617.875914016648</v>
      </c>
      <c r="G461">
        <v>2390.7372976190468</v>
      </c>
      <c r="H461">
        <v>2685.7814365079362</v>
      </c>
      <c r="I461" t="s">
        <v>72</v>
      </c>
    </row>
    <row r="462" spans="1:9" x14ac:dyDescent="0.35">
      <c r="A462" t="s">
        <v>71</v>
      </c>
      <c r="B462" t="s">
        <v>37</v>
      </c>
      <c r="C462">
        <v>2275.2045564307405</v>
      </c>
      <c r="D462">
        <v>2026.0950756623408</v>
      </c>
      <c r="E462">
        <v>1944.952730894043</v>
      </c>
      <c r="F462">
        <v>2237.5696683453102</v>
      </c>
      <c r="G462">
        <v>2228.283361099137</v>
      </c>
      <c r="H462">
        <v>2248.8362300785216</v>
      </c>
      <c r="I462" t="s">
        <v>72</v>
      </c>
    </row>
    <row r="463" spans="1:9" x14ac:dyDescent="0.35">
      <c r="A463" t="s">
        <v>71</v>
      </c>
      <c r="B463" t="s">
        <v>38</v>
      </c>
      <c r="C463">
        <v>2483.9674212240539</v>
      </c>
      <c r="D463">
        <v>2094.8232749412505</v>
      </c>
      <c r="E463">
        <v>1990.9781017964615</v>
      </c>
      <c r="F463">
        <v>2343.6989787272141</v>
      </c>
      <c r="G463">
        <v>2301.0161047968336</v>
      </c>
      <c r="H463">
        <v>2203.7190605299879</v>
      </c>
      <c r="I463" t="s">
        <v>72</v>
      </c>
    </row>
    <row r="464" spans="1:9" x14ac:dyDescent="0.35">
      <c r="A464" t="s">
        <v>71</v>
      </c>
      <c r="B464" t="s">
        <v>39</v>
      </c>
      <c r="C464">
        <v>2021.6962942325461</v>
      </c>
      <c r="D464">
        <v>1803.384151475</v>
      </c>
      <c r="E464">
        <v>1924.2801986602456</v>
      </c>
      <c r="F464">
        <v>1909.000719508294</v>
      </c>
      <c r="G464">
        <v>1836.8703054619937</v>
      </c>
      <c r="H464">
        <v>1966.8859150269434</v>
      </c>
      <c r="I464" t="s">
        <v>72</v>
      </c>
    </row>
    <row r="465" spans="1:9" x14ac:dyDescent="0.35">
      <c r="A465" t="s">
        <v>71</v>
      </c>
      <c r="B465" t="s">
        <v>40</v>
      </c>
      <c r="C465">
        <v>2503.8160605002081</v>
      </c>
      <c r="D465">
        <v>2071.3459196698609</v>
      </c>
      <c r="E465">
        <v>2144.6170601123813</v>
      </c>
      <c r="F465">
        <v>2192.2780463673198</v>
      </c>
      <c r="G465">
        <v>2353.7935010281667</v>
      </c>
      <c r="H465">
        <v>2232.33529081495</v>
      </c>
      <c r="I465" t="s">
        <v>72</v>
      </c>
    </row>
    <row r="466" spans="1:9" x14ac:dyDescent="0.35">
      <c r="A466" t="s">
        <v>71</v>
      </c>
      <c r="B466" t="s">
        <v>41</v>
      </c>
      <c r="C466">
        <v>2263.7946020819863</v>
      </c>
      <c r="D466">
        <v>2477.1364470370372</v>
      </c>
      <c r="E466">
        <v>1949.0027043170244</v>
      </c>
      <c r="F466">
        <v>2605.0570167130682</v>
      </c>
      <c r="G466">
        <v>2708.9214555555559</v>
      </c>
      <c r="H466">
        <v>2245.9077063492068</v>
      </c>
      <c r="I466" t="s">
        <v>72</v>
      </c>
    </row>
    <row r="467" spans="1:9" x14ac:dyDescent="0.35">
      <c r="A467" t="s">
        <v>71</v>
      </c>
      <c r="B467" t="s">
        <v>42</v>
      </c>
      <c r="C467">
        <v>6317.4155825436983</v>
      </c>
      <c r="D467">
        <v>6537.8209073803382</v>
      </c>
      <c r="E467">
        <v>4770.3871695187199</v>
      </c>
      <c r="F467">
        <v>6857.6319754144697</v>
      </c>
      <c r="G467">
        <v>6944.2764856924332</v>
      </c>
      <c r="H467">
        <v>6292.0731910253226</v>
      </c>
      <c r="I467" t="s">
        <v>72</v>
      </c>
    </row>
    <row r="468" spans="1:9" x14ac:dyDescent="0.35">
      <c r="A468" t="s">
        <v>71</v>
      </c>
      <c r="B468" t="s">
        <v>43</v>
      </c>
      <c r="C468">
        <v>677.90393796162505</v>
      </c>
      <c r="D468">
        <v>703.25256748780396</v>
      </c>
      <c r="E468">
        <v>597.71745565355116</v>
      </c>
      <c r="F468">
        <v>899.14695456114134</v>
      </c>
      <c r="G468">
        <v>1391.9478417016351</v>
      </c>
      <c r="H468">
        <v>841.09075066408593</v>
      </c>
      <c r="I468" t="s">
        <v>72</v>
      </c>
    </row>
    <row r="469" spans="1:9" x14ac:dyDescent="0.35">
      <c r="A469" t="s">
        <v>71</v>
      </c>
      <c r="B469" t="s">
        <v>44</v>
      </c>
      <c r="C469">
        <v>6623.7619362079276</v>
      </c>
      <c r="D469">
        <v>5811.151536022001</v>
      </c>
      <c r="E469">
        <v>4725.1272184523814</v>
      </c>
      <c r="F469">
        <v>5994.6075203921328</v>
      </c>
      <c r="G469">
        <v>5830.542034921863</v>
      </c>
      <c r="H469">
        <v>6012.272794396803</v>
      </c>
      <c r="I469" t="s">
        <v>72</v>
      </c>
    </row>
    <row r="470" spans="1:9" x14ac:dyDescent="0.35">
      <c r="A470" t="s">
        <v>71</v>
      </c>
      <c r="B470" t="s">
        <v>45</v>
      </c>
      <c r="C470">
        <v>1050.1816188459102</v>
      </c>
      <c r="D470">
        <v>1117.3992065277776</v>
      </c>
      <c r="E470">
        <v>925.27618185077142</v>
      </c>
      <c r="F470">
        <v>1101.376079401161</v>
      </c>
      <c r="G470">
        <v>1138.9121289682532</v>
      </c>
      <c r="H470">
        <v>1046.4464861111117</v>
      </c>
      <c r="I470" t="s">
        <v>72</v>
      </c>
    </row>
    <row r="471" spans="1:9" x14ac:dyDescent="0.35">
      <c r="A471" t="s">
        <v>71</v>
      </c>
      <c r="B471" t="s">
        <v>46</v>
      </c>
      <c r="C471">
        <v>853.82796895834588</v>
      </c>
      <c r="D471">
        <v>1073.5866304259259</v>
      </c>
      <c r="E471">
        <v>901.11875662244859</v>
      </c>
      <c r="F471">
        <v>936.75445667694783</v>
      </c>
      <c r="G471">
        <v>981.16749130952337</v>
      </c>
      <c r="H471">
        <v>907.87558333333345</v>
      </c>
      <c r="I471" t="s">
        <v>72</v>
      </c>
    </row>
    <row r="472" spans="1:9" x14ac:dyDescent="0.35">
      <c r="A472" t="s">
        <v>71</v>
      </c>
      <c r="B472" t="s">
        <v>47</v>
      </c>
      <c r="C472">
        <v>7072.6074934629851</v>
      </c>
      <c r="D472">
        <v>6009.6989536154624</v>
      </c>
      <c r="E472">
        <v>6719.6449041526221</v>
      </c>
      <c r="F472">
        <v>6541.6010336928794</v>
      </c>
      <c r="G472">
        <v>6091.5257502993518</v>
      </c>
      <c r="H472">
        <v>5920.2632749380136</v>
      </c>
      <c r="I472" t="s">
        <v>72</v>
      </c>
    </row>
    <row r="473" spans="1:9" x14ac:dyDescent="0.35">
      <c r="A473" t="s">
        <v>71</v>
      </c>
      <c r="B473" t="s">
        <v>48</v>
      </c>
      <c r="C473">
        <v>1032.0476751865872</v>
      </c>
      <c r="D473">
        <v>1102.7341055671366</v>
      </c>
      <c r="E473">
        <v>898.20786903864712</v>
      </c>
      <c r="F473">
        <v>1807.9209507032222</v>
      </c>
      <c r="G473">
        <v>1592.8931748403668</v>
      </c>
      <c r="H473">
        <v>1372.3430734975962</v>
      </c>
      <c r="I473" t="s">
        <v>72</v>
      </c>
    </row>
    <row r="474" spans="1:9" x14ac:dyDescent="0.35">
      <c r="A474" t="s">
        <v>71</v>
      </c>
      <c r="B474" t="s">
        <v>49</v>
      </c>
      <c r="C474">
        <v>3175.5943222456858</v>
      </c>
      <c r="D474">
        <v>2919.011861518889</v>
      </c>
      <c r="E474">
        <v>2936.4884819343174</v>
      </c>
      <c r="F474">
        <v>3515.4808870290262</v>
      </c>
      <c r="G474">
        <v>3741.6462772619052</v>
      </c>
      <c r="H474">
        <v>3038.7881527777786</v>
      </c>
      <c r="I474" t="s">
        <v>72</v>
      </c>
    </row>
    <row r="475" spans="1:9" x14ac:dyDescent="0.35">
      <c r="A475" t="s">
        <v>71</v>
      </c>
      <c r="B475" t="s">
        <v>50</v>
      </c>
      <c r="C475">
        <v>1898.1041607710717</v>
      </c>
      <c r="D475">
        <v>1866.624369060567</v>
      </c>
      <c r="E475">
        <v>1563.2416811842043</v>
      </c>
      <c r="F475">
        <v>2541.0502597982982</v>
      </c>
      <c r="G475">
        <v>2464.7506382539677</v>
      </c>
      <c r="H475">
        <v>2302.3809999999999</v>
      </c>
      <c r="I475" t="s">
        <v>72</v>
      </c>
    </row>
    <row r="476" spans="1:9" x14ac:dyDescent="0.35">
      <c r="A476" t="s">
        <v>71</v>
      </c>
      <c r="B476" t="s">
        <v>51</v>
      </c>
      <c r="C476">
        <v>4001.8694839901796</v>
      </c>
      <c r="D476">
        <v>3722.7084072091661</v>
      </c>
      <c r="E476">
        <v>3547.2491843059515</v>
      </c>
      <c r="F476">
        <v>4278.2253227705141</v>
      </c>
      <c r="G476">
        <v>3740.0987738888884</v>
      </c>
      <c r="H476">
        <v>3516.3442619047619</v>
      </c>
      <c r="I476" t="s">
        <v>72</v>
      </c>
    </row>
    <row r="477" spans="1:9" x14ac:dyDescent="0.35">
      <c r="A477" t="s">
        <v>71</v>
      </c>
      <c r="B477" t="s">
        <v>52</v>
      </c>
      <c r="C477">
        <v>1637.0873339040227</v>
      </c>
      <c r="D477">
        <v>1929.9686675829578</v>
      </c>
      <c r="E477">
        <v>1979.0632980440193</v>
      </c>
      <c r="F477">
        <v>2439.1745403726341</v>
      </c>
      <c r="G477">
        <v>2467.5850186167668</v>
      </c>
      <c r="H477">
        <v>1831.2652714346032</v>
      </c>
      <c r="I477" t="s">
        <v>72</v>
      </c>
    </row>
    <row r="478" spans="1:9" x14ac:dyDescent="0.35">
      <c r="A478" t="s">
        <v>71</v>
      </c>
      <c r="I478" t="s">
        <v>72</v>
      </c>
    </row>
    <row r="479" spans="1:9" x14ac:dyDescent="0.35">
      <c r="A479" t="s">
        <v>71</v>
      </c>
      <c r="I479" t="s">
        <v>72</v>
      </c>
    </row>
    <row r="480" spans="1:9" x14ac:dyDescent="0.35">
      <c r="A480" t="s">
        <v>73</v>
      </c>
      <c r="B480" t="s">
        <v>10</v>
      </c>
      <c r="C480">
        <v>254.71726193263001</v>
      </c>
      <c r="D480">
        <v>233.09346180555553</v>
      </c>
      <c r="E480">
        <v>239.76733996598634</v>
      </c>
      <c r="F480">
        <v>268.8533333333333</v>
      </c>
      <c r="G480">
        <v>248.40924801587303</v>
      </c>
      <c r="H480">
        <v>248.2160615079365</v>
      </c>
      <c r="I480" t="s">
        <v>74</v>
      </c>
    </row>
    <row r="481" spans="1:9" x14ac:dyDescent="0.35">
      <c r="A481" t="s">
        <v>73</v>
      </c>
      <c r="B481" t="s">
        <v>12</v>
      </c>
      <c r="C481">
        <v>5857.5735872519872</v>
      </c>
      <c r="D481">
        <v>5759.3037847222222</v>
      </c>
      <c r="E481">
        <v>5561.5549601113171</v>
      </c>
      <c r="F481">
        <v>6591.380266666667</v>
      </c>
      <c r="G481">
        <v>5880.3967628968248</v>
      </c>
      <c r="H481">
        <v>5915.3950793650793</v>
      </c>
      <c r="I481" t="s">
        <v>74</v>
      </c>
    </row>
    <row r="482" spans="1:9" x14ac:dyDescent="0.35">
      <c r="A482" t="s">
        <v>73</v>
      </c>
      <c r="B482" t="s">
        <v>13</v>
      </c>
      <c r="C482">
        <v>1635.2108196787615</v>
      </c>
      <c r="D482">
        <v>1696.6259309936224</v>
      </c>
      <c r="E482">
        <v>1397.9702248988074</v>
      </c>
      <c r="F482">
        <v>2241.4803333881459</v>
      </c>
      <c r="G482">
        <v>2011.4267838197602</v>
      </c>
      <c r="H482">
        <v>2082.516463621414</v>
      </c>
      <c r="I482" t="s">
        <v>74</v>
      </c>
    </row>
    <row r="483" spans="1:9" x14ac:dyDescent="0.35">
      <c r="A483" t="s">
        <v>73</v>
      </c>
      <c r="B483" t="s">
        <v>14</v>
      </c>
      <c r="C483">
        <v>1561.22306899962</v>
      </c>
      <c r="D483">
        <v>1425.8930393959718</v>
      </c>
      <c r="E483">
        <v>1266.2554412067079</v>
      </c>
      <c r="F483">
        <v>2057.0216257236743</v>
      </c>
      <c r="G483">
        <v>1871.2438712682986</v>
      </c>
      <c r="H483">
        <v>1701.0678521700329</v>
      </c>
      <c r="I483" t="s">
        <v>74</v>
      </c>
    </row>
    <row r="484" spans="1:9" x14ac:dyDescent="0.35">
      <c r="A484" t="s">
        <v>73</v>
      </c>
      <c r="B484" t="s">
        <v>15</v>
      </c>
      <c r="C484">
        <v>6402.171906417665</v>
      </c>
      <c r="D484">
        <v>7260.4323768518489</v>
      </c>
      <c r="E484">
        <v>5734.8828487342698</v>
      </c>
      <c r="F484">
        <v>8673.7756240490089</v>
      </c>
      <c r="G484">
        <v>7134.3594855526171</v>
      </c>
      <c r="H484">
        <v>6528.1849498255278</v>
      </c>
      <c r="I484" t="s">
        <v>74</v>
      </c>
    </row>
    <row r="485" spans="1:9" x14ac:dyDescent="0.35">
      <c r="A485" t="s">
        <v>73</v>
      </c>
      <c r="B485" t="s">
        <v>16</v>
      </c>
      <c r="C485">
        <v>1757.7093299394771</v>
      </c>
      <c r="D485">
        <v>1450</v>
      </c>
      <c r="E485">
        <v>1635.7142857142858</v>
      </c>
      <c r="F485">
        <v>1689.1727769606096</v>
      </c>
      <c r="G485">
        <v>1693.8333333333333</v>
      </c>
      <c r="H485">
        <v>1729.3333333333333</v>
      </c>
      <c r="I485" t="s">
        <v>74</v>
      </c>
    </row>
    <row r="486" spans="1:9" x14ac:dyDescent="0.35">
      <c r="A486" t="s">
        <v>73</v>
      </c>
      <c r="B486" t="s">
        <v>17</v>
      </c>
      <c r="C486">
        <v>1666.6254842599315</v>
      </c>
      <c r="D486">
        <v>1316.6666666666667</v>
      </c>
      <c r="E486">
        <v>1658.2826945021641</v>
      </c>
      <c r="F486">
        <v>1590.4241992191678</v>
      </c>
      <c r="G486">
        <v>1672.15411329365</v>
      </c>
      <c r="H486">
        <v>1400.0805158730152</v>
      </c>
      <c r="I486" t="s">
        <v>74</v>
      </c>
    </row>
    <row r="487" spans="1:9" x14ac:dyDescent="0.35">
      <c r="A487" t="s">
        <v>73</v>
      </c>
      <c r="B487" t="s">
        <v>18</v>
      </c>
      <c r="C487">
        <v>1604.9996627287728</v>
      </c>
      <c r="D487">
        <v>1492.5</v>
      </c>
      <c r="E487">
        <v>1561.0471129409329</v>
      </c>
      <c r="F487">
        <v>2448.3479803430623</v>
      </c>
      <c r="G487">
        <v>2419.7326211215345</v>
      </c>
      <c r="H487">
        <v>2192.2921910495479</v>
      </c>
      <c r="I487" t="s">
        <v>74</v>
      </c>
    </row>
    <row r="488" spans="1:9" x14ac:dyDescent="0.35">
      <c r="A488" t="s">
        <v>73</v>
      </c>
      <c r="B488" t="s">
        <v>19</v>
      </c>
      <c r="C488">
        <v>6883.9873255764105</v>
      </c>
      <c r="D488">
        <v>6211.9206518518522</v>
      </c>
      <c r="E488">
        <v>4665.7645428571414</v>
      </c>
      <c r="F488">
        <v>6668.5734468430865</v>
      </c>
      <c r="G488">
        <v>5931.8521414621382</v>
      </c>
      <c r="H488">
        <v>5668.166666666667</v>
      </c>
      <c r="I488" t="s">
        <v>74</v>
      </c>
    </row>
    <row r="489" spans="1:9" x14ac:dyDescent="0.35">
      <c r="A489" t="s">
        <v>73</v>
      </c>
      <c r="B489" t="s">
        <v>20</v>
      </c>
      <c r="C489">
        <v>4195.728650587248</v>
      </c>
      <c r="D489">
        <v>2650</v>
      </c>
      <c r="E489">
        <v>2627.2624404761896</v>
      </c>
      <c r="F489">
        <v>3731.5398898997141</v>
      </c>
      <c r="G489">
        <v>4270.235084007526</v>
      </c>
      <c r="H489">
        <v>4842.6758771929817</v>
      </c>
      <c r="I489" t="s">
        <v>74</v>
      </c>
    </row>
    <row r="490" spans="1:9" x14ac:dyDescent="0.35">
      <c r="A490" t="s">
        <v>73</v>
      </c>
      <c r="B490" t="s">
        <v>21</v>
      </c>
      <c r="C490">
        <v>6332.9674412760478</v>
      </c>
      <c r="D490">
        <v>4904.5</v>
      </c>
      <c r="E490">
        <v>4926.1428571428569</v>
      </c>
      <c r="F490">
        <v>8001.4091986996918</v>
      </c>
      <c r="G490">
        <v>5822.7947167710299</v>
      </c>
      <c r="H490">
        <v>5702</v>
      </c>
      <c r="I490" t="s">
        <v>74</v>
      </c>
    </row>
    <row r="491" spans="1:9" x14ac:dyDescent="0.35">
      <c r="A491" t="s">
        <v>73</v>
      </c>
      <c r="B491" t="s">
        <v>22</v>
      </c>
      <c r="C491">
        <v>5149.2934617757064</v>
      </c>
      <c r="D491">
        <v>3958.3333333333335</v>
      </c>
      <c r="E491">
        <v>4118.3429618001055</v>
      </c>
      <c r="F491">
        <v>5330.8856759911432</v>
      </c>
      <c r="G491">
        <v>5489.6273969646327</v>
      </c>
      <c r="H491">
        <v>5502.6352176715955</v>
      </c>
      <c r="I491" t="s">
        <v>74</v>
      </c>
    </row>
    <row r="492" spans="1:9" x14ac:dyDescent="0.35">
      <c r="A492" t="s">
        <v>73</v>
      </c>
      <c r="B492" t="s">
        <v>23</v>
      </c>
      <c r="C492">
        <v>8769.8134032918424</v>
      </c>
      <c r="D492">
        <v>9363.7691666666669</v>
      </c>
      <c r="E492">
        <v>8928.8101516051465</v>
      </c>
      <c r="F492">
        <v>8558.1899012426293</v>
      </c>
      <c r="G492">
        <v>7135.7764220364488</v>
      </c>
      <c r="H492">
        <v>9706.9443167989357</v>
      </c>
      <c r="I492" t="s">
        <v>74</v>
      </c>
    </row>
    <row r="493" spans="1:9" x14ac:dyDescent="0.35">
      <c r="A493" t="s">
        <v>73</v>
      </c>
      <c r="B493" t="s">
        <v>24</v>
      </c>
      <c r="C493">
        <v>7768.5909322753359</v>
      </c>
      <c r="D493">
        <v>6305.4726180856114</v>
      </c>
      <c r="E493">
        <v>5483.0266938943341</v>
      </c>
      <c r="F493">
        <v>9778.7759553078176</v>
      </c>
      <c r="G493">
        <v>6686.9542403913047</v>
      </c>
      <c r="H493">
        <v>6751.0786307623648</v>
      </c>
      <c r="I493" t="s">
        <v>74</v>
      </c>
    </row>
    <row r="494" spans="1:9" x14ac:dyDescent="0.35">
      <c r="A494" t="s">
        <v>73</v>
      </c>
      <c r="B494" t="s">
        <v>25</v>
      </c>
      <c r="C494">
        <v>640.67815673266432</v>
      </c>
      <c r="D494">
        <v>672.76943346508563</v>
      </c>
      <c r="E494">
        <v>898.30439126720285</v>
      </c>
      <c r="F494">
        <v>1223.7733607641999</v>
      </c>
      <c r="G494">
        <v>977.55790474994376</v>
      </c>
      <c r="H494">
        <v>910.33239368578199</v>
      </c>
      <c r="I494" t="s">
        <v>74</v>
      </c>
    </row>
    <row r="495" spans="1:9" x14ac:dyDescent="0.35">
      <c r="A495" t="s">
        <v>73</v>
      </c>
      <c r="B495" t="s">
        <v>26</v>
      </c>
      <c r="C495">
        <v>765.13888039099072</v>
      </c>
      <c r="D495">
        <v>788.33333333333337</v>
      </c>
      <c r="E495">
        <v>989.91267563623285</v>
      </c>
      <c r="F495">
        <v>1244.5601552179983</v>
      </c>
      <c r="G495">
        <v>944.5613635510648</v>
      </c>
      <c r="H495">
        <v>1109.8795083135294</v>
      </c>
      <c r="I495" t="s">
        <v>74</v>
      </c>
    </row>
    <row r="496" spans="1:9" x14ac:dyDescent="0.35">
      <c r="A496" t="s">
        <v>73</v>
      </c>
      <c r="B496" t="s">
        <v>27</v>
      </c>
      <c r="C496">
        <v>5314.8970634230254</v>
      </c>
      <c r="D496">
        <v>4750.75</v>
      </c>
      <c r="E496">
        <v>4428.2968584024575</v>
      </c>
      <c r="F496">
        <v>6039.0267772370262</v>
      </c>
      <c r="G496">
        <v>5914.005998281179</v>
      </c>
      <c r="H496">
        <v>6627.3621831226765</v>
      </c>
      <c r="I496" t="s">
        <v>74</v>
      </c>
    </row>
    <row r="497" spans="1:9" x14ac:dyDescent="0.35">
      <c r="A497" t="s">
        <v>73</v>
      </c>
      <c r="B497" t="s">
        <v>28</v>
      </c>
      <c r="C497">
        <v>5778.5612649842587</v>
      </c>
      <c r="D497">
        <v>6224.3186388888898</v>
      </c>
      <c r="E497">
        <v>5994.6568610930781</v>
      </c>
      <c r="F497">
        <v>8995.0839787105397</v>
      </c>
      <c r="G497">
        <v>7371.2639737717718</v>
      </c>
      <c r="H497">
        <v>7186.3512786596111</v>
      </c>
      <c r="I497" t="s">
        <v>74</v>
      </c>
    </row>
    <row r="498" spans="1:9" x14ac:dyDescent="0.35">
      <c r="A498" t="s">
        <v>73</v>
      </c>
      <c r="B498" t="s">
        <v>29</v>
      </c>
      <c r="C498">
        <v>2967.0243941640933</v>
      </c>
      <c r="D498">
        <v>3122.3522222222223</v>
      </c>
      <c r="E498">
        <v>3086.5190106926311</v>
      </c>
      <c r="F498">
        <v>3481.1695125253696</v>
      </c>
      <c r="G498">
        <v>3885.836502083333</v>
      </c>
      <c r="H498">
        <v>3234.4906249999999</v>
      </c>
      <c r="I498" t="s">
        <v>74</v>
      </c>
    </row>
    <row r="499" spans="1:9" x14ac:dyDescent="0.35">
      <c r="A499" t="s">
        <v>73</v>
      </c>
      <c r="B499" t="s">
        <v>30</v>
      </c>
      <c r="C499">
        <v>2390.3917412849146</v>
      </c>
      <c r="D499">
        <v>2553.9661111111118</v>
      </c>
      <c r="E499">
        <v>2620.79130952381</v>
      </c>
      <c r="F499">
        <v>3191.6335285257351</v>
      </c>
      <c r="G499">
        <v>2558.0423194841283</v>
      </c>
      <c r="H499">
        <v>2695.8891865079363</v>
      </c>
      <c r="I499" t="s">
        <v>74</v>
      </c>
    </row>
    <row r="500" spans="1:9" x14ac:dyDescent="0.35">
      <c r="A500" t="s">
        <v>73</v>
      </c>
      <c r="B500" t="s">
        <v>31</v>
      </c>
      <c r="C500">
        <v>1370.4695126895087</v>
      </c>
      <c r="D500">
        <v>1236.75265735332</v>
      </c>
      <c r="E500">
        <v>1148.1203340350401</v>
      </c>
      <c r="F500">
        <v>2401.36424447736</v>
      </c>
      <c r="G500">
        <v>2118.7181549655133</v>
      </c>
      <c r="H500">
        <v>1775.7616730355501</v>
      </c>
      <c r="I500" t="s">
        <v>74</v>
      </c>
    </row>
    <row r="501" spans="1:9" x14ac:dyDescent="0.35">
      <c r="A501" t="s">
        <v>73</v>
      </c>
      <c r="B501" t="s">
        <v>32</v>
      </c>
      <c r="C501">
        <v>2286.6658434503629</v>
      </c>
      <c r="D501">
        <v>1669.206466177219</v>
      </c>
      <c r="E501">
        <v>1802.0558429950815</v>
      </c>
      <c r="F501">
        <v>2092.229460943543</v>
      </c>
      <c r="G501">
        <v>3294.1906335022081</v>
      </c>
      <c r="H501">
        <v>2788.5299927662968</v>
      </c>
      <c r="I501" t="s">
        <v>74</v>
      </c>
    </row>
    <row r="502" spans="1:9" x14ac:dyDescent="0.35">
      <c r="A502" t="s">
        <v>73</v>
      </c>
      <c r="B502" t="s">
        <v>33</v>
      </c>
      <c r="C502">
        <v>7641.8327884634691</v>
      </c>
      <c r="D502">
        <v>5650.916666666667</v>
      </c>
      <c r="E502">
        <v>4448.166893939393</v>
      </c>
      <c r="F502">
        <v>5908.1673520451095</v>
      </c>
      <c r="G502">
        <v>5447.2978484001578</v>
      </c>
      <c r="H502">
        <v>5140.9891104221433</v>
      </c>
      <c r="I502" t="s">
        <v>74</v>
      </c>
    </row>
    <row r="503" spans="1:9" x14ac:dyDescent="0.35">
      <c r="A503" t="s">
        <v>73</v>
      </c>
      <c r="B503" t="s">
        <v>34</v>
      </c>
      <c r="C503">
        <v>731.7218102078424</v>
      </c>
      <c r="D503">
        <v>607.9285852167601</v>
      </c>
      <c r="E503">
        <v>872.78937776362807</v>
      </c>
      <c r="F503">
        <v>1247.600276074596</v>
      </c>
      <c r="G503">
        <v>1113.4059675268879</v>
      </c>
      <c r="H503">
        <v>847.27169568009447</v>
      </c>
      <c r="I503" t="s">
        <v>74</v>
      </c>
    </row>
    <row r="504" spans="1:9" x14ac:dyDescent="0.35">
      <c r="A504" t="s">
        <v>73</v>
      </c>
      <c r="B504" t="s">
        <v>35</v>
      </c>
      <c r="C504">
        <v>1062.5283624536471</v>
      </c>
      <c r="D504">
        <v>1057.6545834986771</v>
      </c>
      <c r="E504">
        <v>981.52916491290284</v>
      </c>
      <c r="F504">
        <v>1983.4198258252218</v>
      </c>
      <c r="G504">
        <v>1651.3418738174678</v>
      </c>
      <c r="H504">
        <v>1315.9459361147265</v>
      </c>
      <c r="I504" t="s">
        <v>74</v>
      </c>
    </row>
    <row r="505" spans="1:9" x14ac:dyDescent="0.35">
      <c r="A505" t="s">
        <v>73</v>
      </c>
      <c r="B505" t="s">
        <v>36</v>
      </c>
      <c r="C505">
        <v>2363.064518249947</v>
      </c>
      <c r="D505">
        <v>2509.6205826388891</v>
      </c>
      <c r="E505">
        <v>2532.47080593692</v>
      </c>
      <c r="F505">
        <v>2733.1439018691499</v>
      </c>
      <c r="G505">
        <v>2392.6372976190473</v>
      </c>
      <c r="H505">
        <v>2681.9721031746035</v>
      </c>
      <c r="I505" t="s">
        <v>74</v>
      </c>
    </row>
    <row r="506" spans="1:9" x14ac:dyDescent="0.35">
      <c r="A506" t="s">
        <v>73</v>
      </c>
      <c r="B506" t="s">
        <v>37</v>
      </c>
      <c r="C506">
        <v>2263.8028644942574</v>
      </c>
      <c r="D506">
        <v>1933.1150803845833</v>
      </c>
      <c r="E506">
        <v>1950.7617306252228</v>
      </c>
      <c r="F506">
        <v>2350.0521510206399</v>
      </c>
      <c r="G506">
        <v>2226.86669443247</v>
      </c>
      <c r="H506">
        <v>2246.6935634118549</v>
      </c>
      <c r="I506" t="s">
        <v>74</v>
      </c>
    </row>
    <row r="507" spans="1:9" x14ac:dyDescent="0.35">
      <c r="A507" t="s">
        <v>73</v>
      </c>
      <c r="B507" t="s">
        <v>38</v>
      </c>
      <c r="C507">
        <v>2470.2833642452201</v>
      </c>
      <c r="D507">
        <v>1968.2354891304349</v>
      </c>
      <c r="E507">
        <v>1995.3831412004586</v>
      </c>
      <c r="F507">
        <v>2457.6184952695071</v>
      </c>
      <c r="G507">
        <v>2301.266104796834</v>
      </c>
      <c r="H507">
        <v>2202.2430605299883</v>
      </c>
      <c r="I507" t="s">
        <v>74</v>
      </c>
    </row>
    <row r="508" spans="1:9" x14ac:dyDescent="0.35">
      <c r="A508" t="s">
        <v>73</v>
      </c>
      <c r="B508" t="s">
        <v>39</v>
      </c>
      <c r="C508">
        <v>2031.3264120794884</v>
      </c>
      <c r="D508">
        <v>1883.5534202404667</v>
      </c>
      <c r="E508">
        <v>1962.6952835032173</v>
      </c>
      <c r="F508">
        <v>2029.484527815704</v>
      </c>
      <c r="G508">
        <v>1838.2386387953266</v>
      </c>
      <c r="H508">
        <v>1970.4099150269424</v>
      </c>
      <c r="I508" t="s">
        <v>74</v>
      </c>
    </row>
    <row r="509" spans="1:9" x14ac:dyDescent="0.35">
      <c r="A509" t="s">
        <v>73</v>
      </c>
      <c r="B509" t="s">
        <v>40</v>
      </c>
      <c r="C509">
        <v>2512.4849094582814</v>
      </c>
      <c r="D509">
        <v>2153.4444807880286</v>
      </c>
      <c r="E509">
        <v>2243.2002364767168</v>
      </c>
      <c r="F509">
        <v>2406.5965122026437</v>
      </c>
      <c r="G509">
        <v>2356.1301676948328</v>
      </c>
      <c r="H509">
        <v>2239.0259574816168</v>
      </c>
      <c r="I509" t="s">
        <v>74</v>
      </c>
    </row>
    <row r="510" spans="1:9" x14ac:dyDescent="0.35">
      <c r="A510" t="s">
        <v>73</v>
      </c>
      <c r="B510" t="s">
        <v>41</v>
      </c>
      <c r="C510">
        <v>2259.1349425820295</v>
      </c>
      <c r="D510">
        <v>2458.194722222222</v>
      </c>
      <c r="E510">
        <v>1907.2376612585031</v>
      </c>
      <c r="F510">
        <v>2679.7370167130671</v>
      </c>
      <c r="G510">
        <v>2708.1214555555557</v>
      </c>
      <c r="H510">
        <v>2245.7650396825402</v>
      </c>
      <c r="I510" t="s">
        <v>74</v>
      </c>
    </row>
    <row r="511" spans="1:9" x14ac:dyDescent="0.35">
      <c r="A511" t="s">
        <v>73</v>
      </c>
      <c r="B511" t="s">
        <v>42</v>
      </c>
      <c r="C511">
        <v>6301.7447270633475</v>
      </c>
      <c r="D511">
        <v>6140.514213845162</v>
      </c>
      <c r="E511">
        <v>4851.7582049814728</v>
      </c>
      <c r="F511">
        <v>7250.1298825230042</v>
      </c>
      <c r="G511">
        <v>6942.1598190257673</v>
      </c>
      <c r="H511">
        <v>6290.763857691989</v>
      </c>
      <c r="I511" t="s">
        <v>74</v>
      </c>
    </row>
    <row r="512" spans="1:9" x14ac:dyDescent="0.35">
      <c r="A512" t="s">
        <v>73</v>
      </c>
      <c r="B512" t="s">
        <v>43</v>
      </c>
      <c r="C512">
        <v>686.36864962344839</v>
      </c>
      <c r="D512">
        <v>625.90660882920838</v>
      </c>
      <c r="E512">
        <v>610.44440002623287</v>
      </c>
      <c r="F512">
        <v>928.02421110781506</v>
      </c>
      <c r="G512">
        <v>1393.9995083683009</v>
      </c>
      <c r="H512">
        <v>838.94808399741908</v>
      </c>
      <c r="I512" t="s">
        <v>74</v>
      </c>
    </row>
    <row r="513" spans="1:9" x14ac:dyDescent="0.35">
      <c r="A513" t="s">
        <v>73</v>
      </c>
      <c r="B513" t="s">
        <v>44</v>
      </c>
      <c r="C513">
        <v>6618.0053944246511</v>
      </c>
      <c r="D513">
        <v>5209.69136968766</v>
      </c>
      <c r="E513">
        <v>4737.1015476190469</v>
      </c>
      <c r="F513">
        <v>5974.1027442418226</v>
      </c>
      <c r="G513">
        <v>5828.7287015885304</v>
      </c>
      <c r="H513">
        <v>6009.2967943968033</v>
      </c>
      <c r="I513" t="s">
        <v>74</v>
      </c>
    </row>
    <row r="514" spans="1:9" x14ac:dyDescent="0.35">
      <c r="A514" t="s">
        <v>73</v>
      </c>
      <c r="B514" t="s">
        <v>45</v>
      </c>
      <c r="C514">
        <v>1047.3009975636937</v>
      </c>
      <c r="D514">
        <v>918.33333333333337</v>
      </c>
      <c r="E514">
        <v>923.82623265924576</v>
      </c>
      <c r="F514">
        <v>1179.007430833334</v>
      </c>
      <c r="G514">
        <v>1133.57879563492</v>
      </c>
      <c r="H514">
        <v>1043.4704861111111</v>
      </c>
      <c r="I514" t="s">
        <v>74</v>
      </c>
    </row>
    <row r="515" spans="1:9" x14ac:dyDescent="0.35">
      <c r="A515" t="s">
        <v>73</v>
      </c>
      <c r="B515" t="s">
        <v>46</v>
      </c>
      <c r="C515">
        <v>850.77115924302291</v>
      </c>
      <c r="D515">
        <v>845.41666666666663</v>
      </c>
      <c r="E515">
        <v>885.66973724489867</v>
      </c>
      <c r="F515">
        <v>965.18106230552644</v>
      </c>
      <c r="G515">
        <v>979.70082464285679</v>
      </c>
      <c r="H515">
        <v>899.23291666666671</v>
      </c>
      <c r="I515" t="s">
        <v>74</v>
      </c>
    </row>
    <row r="516" spans="1:9" x14ac:dyDescent="0.35">
      <c r="A516" t="s">
        <v>73</v>
      </c>
      <c r="B516" t="s">
        <v>47</v>
      </c>
      <c r="C516">
        <v>7060.0624857566345</v>
      </c>
      <c r="D516">
        <v>5564.8431770152501</v>
      </c>
      <c r="E516">
        <v>6725.5416721428564</v>
      </c>
      <c r="F516">
        <v>6629.9060495378799</v>
      </c>
      <c r="G516">
        <v>6086.9424169660169</v>
      </c>
      <c r="H516">
        <v>5916.620608271347</v>
      </c>
      <c r="I516" t="s">
        <v>74</v>
      </c>
    </row>
    <row r="517" spans="1:9" x14ac:dyDescent="0.35">
      <c r="A517" t="s">
        <v>73</v>
      </c>
      <c r="B517" t="s">
        <v>48</v>
      </c>
      <c r="C517">
        <v>1036.8287152540875</v>
      </c>
      <c r="D517">
        <v>1031.750579996911</v>
      </c>
      <c r="E517">
        <v>870.78033372033292</v>
      </c>
      <c r="F517">
        <v>2004.8801006595459</v>
      </c>
      <c r="G517">
        <v>1593.0931748403675</v>
      </c>
      <c r="H517">
        <v>1371.20040683093</v>
      </c>
      <c r="I517" t="s">
        <v>74</v>
      </c>
    </row>
    <row r="518" spans="1:9" x14ac:dyDescent="0.35">
      <c r="A518" t="s">
        <v>73</v>
      </c>
      <c r="B518" t="s">
        <v>49</v>
      </c>
      <c r="C518">
        <v>3170.601234912067</v>
      </c>
      <c r="D518">
        <v>2766.2906944444458</v>
      </c>
      <c r="E518">
        <v>2975.9396155555573</v>
      </c>
      <c r="F518">
        <v>3847.5333333333342</v>
      </c>
      <c r="G518">
        <v>3737.512943928572</v>
      </c>
      <c r="H518">
        <v>3034.9788194444441</v>
      </c>
      <c r="I518" t="s">
        <v>74</v>
      </c>
    </row>
    <row r="519" spans="1:9" x14ac:dyDescent="0.35">
      <c r="A519" t="s">
        <v>73</v>
      </c>
      <c r="B519" t="s">
        <v>50</v>
      </c>
      <c r="C519">
        <v>1915.4433698072685</v>
      </c>
      <c r="D519">
        <v>1580</v>
      </c>
      <c r="E519">
        <v>1559.1079924165128</v>
      </c>
      <c r="F519">
        <v>2807.9809999999989</v>
      </c>
      <c r="G519">
        <v>2463.0006382539673</v>
      </c>
      <c r="H519">
        <v>2300.4050000000007</v>
      </c>
      <c r="I519" t="s">
        <v>74</v>
      </c>
    </row>
    <row r="520" spans="1:9" x14ac:dyDescent="0.35">
      <c r="A520" t="s">
        <v>73</v>
      </c>
      <c r="B520" t="s">
        <v>51</v>
      </c>
      <c r="C520">
        <v>3997.0237590947786</v>
      </c>
      <c r="D520">
        <v>3672.6545416666668</v>
      </c>
      <c r="E520">
        <v>3466.942695238095</v>
      </c>
      <c r="F520">
        <v>5087.9366666666683</v>
      </c>
      <c r="G520">
        <v>3788.993773888888</v>
      </c>
      <c r="H520">
        <v>3512.8682619047613</v>
      </c>
      <c r="I520" t="s">
        <v>74</v>
      </c>
    </row>
    <row r="521" spans="1:9" x14ac:dyDescent="0.35">
      <c r="A521" t="s">
        <v>73</v>
      </c>
      <c r="B521" t="s">
        <v>52</v>
      </c>
      <c r="C521">
        <v>1660.7597107645342</v>
      </c>
      <c r="D521">
        <v>1874.6395155348027</v>
      </c>
      <c r="E521">
        <v>2008.7995665103906</v>
      </c>
      <c r="F521">
        <v>2647.340220304457</v>
      </c>
      <c r="G521">
        <v>2464.1533519500995</v>
      </c>
      <c r="H521">
        <v>1830.7892714346028</v>
      </c>
      <c r="I521" t="s">
        <v>74</v>
      </c>
    </row>
    <row r="522" spans="1:9" x14ac:dyDescent="0.35">
      <c r="A522" t="s">
        <v>73</v>
      </c>
      <c r="I522" t="s">
        <v>74</v>
      </c>
    </row>
    <row r="523" spans="1:9" x14ac:dyDescent="0.35">
      <c r="A523" t="s">
        <v>73</v>
      </c>
      <c r="I523" t="s">
        <v>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5257-C13C-405A-9E38-840B3E552F8B}">
  <sheetPr>
    <tabColor rgb="FFFFFF00"/>
  </sheetPr>
  <dimension ref="A3:N48"/>
  <sheetViews>
    <sheetView tabSelected="1" topLeftCell="B12" workbookViewId="0">
      <selection activeCell="N39" sqref="N39"/>
    </sheetView>
  </sheetViews>
  <sheetFormatPr defaultRowHeight="14.5" x14ac:dyDescent="0.35"/>
  <cols>
    <col min="1" max="1" width="36.54296875" bestFit="1" customWidth="1"/>
    <col min="2" max="2" width="15.6328125" bestFit="1" customWidth="1"/>
    <col min="3" max="14" width="11.81640625" bestFit="1" customWidth="1"/>
  </cols>
  <sheetData>
    <row r="3" spans="1:14" x14ac:dyDescent="0.35">
      <c r="A3" s="1" t="s">
        <v>78</v>
      </c>
      <c r="B3" s="1" t="s">
        <v>79</v>
      </c>
    </row>
    <row r="4" spans="1:14" x14ac:dyDescent="0.35">
      <c r="A4" s="1" t="s">
        <v>75</v>
      </c>
      <c r="B4" t="s">
        <v>60</v>
      </c>
      <c r="C4" t="s">
        <v>58</v>
      </c>
      <c r="D4" t="s">
        <v>66</v>
      </c>
      <c r="E4" t="s">
        <v>11</v>
      </c>
      <c r="F4" t="s">
        <v>68</v>
      </c>
      <c r="G4" t="s">
        <v>64</v>
      </c>
      <c r="H4" t="s">
        <v>62</v>
      </c>
      <c r="I4" t="s">
        <v>54</v>
      </c>
      <c r="J4" t="s">
        <v>74</v>
      </c>
      <c r="K4" t="s">
        <v>72</v>
      </c>
      <c r="L4" t="s">
        <v>70</v>
      </c>
      <c r="M4" t="s">
        <v>56</v>
      </c>
      <c r="N4" t="s">
        <v>77</v>
      </c>
    </row>
    <row r="5" spans="1:14" x14ac:dyDescent="0.35">
      <c r="A5" s="2" t="s">
        <v>10</v>
      </c>
      <c r="B5">
        <v>250.83333333333334</v>
      </c>
      <c r="C5">
        <v>257.5</v>
      </c>
      <c r="D5">
        <v>268.66666666666669</v>
      </c>
      <c r="E5">
        <v>258.16666666666669</v>
      </c>
      <c r="F5">
        <v>269.53956349206351</v>
      </c>
      <c r="G5">
        <v>267.53311825396827</v>
      </c>
      <c r="H5">
        <v>263.83333333333331</v>
      </c>
      <c r="I5">
        <v>248.71244345238097</v>
      </c>
      <c r="J5">
        <v>248.2160615079365</v>
      </c>
      <c r="K5">
        <v>247.77539484126979</v>
      </c>
      <c r="L5">
        <v>242.51328107756851</v>
      </c>
      <c r="M5">
        <v>241.73817897308334</v>
      </c>
      <c r="N5">
        <v>255.41900346652258</v>
      </c>
    </row>
    <row r="6" spans="1:14" x14ac:dyDescent="0.35">
      <c r="A6" s="2" t="s">
        <v>12</v>
      </c>
      <c r="B6">
        <v>5900</v>
      </c>
      <c r="C6">
        <v>6055.208333333333</v>
      </c>
      <c r="D6">
        <v>6432.708333333333</v>
      </c>
      <c r="E6">
        <v>6366.666666666667</v>
      </c>
      <c r="F6">
        <v>6497.4833333333327</v>
      </c>
      <c r="G6">
        <v>6481.8666666666659</v>
      </c>
      <c r="H6">
        <v>6800.7847111513502</v>
      </c>
      <c r="I6">
        <v>5944.3154543650789</v>
      </c>
      <c r="J6">
        <v>5915.3950793650793</v>
      </c>
      <c r="K6">
        <v>5913.3710793650789</v>
      </c>
      <c r="L6">
        <v>5866.5565833711998</v>
      </c>
      <c r="M6">
        <v>5861.7921829571351</v>
      </c>
      <c r="N6">
        <v>6169.6790353256874</v>
      </c>
    </row>
    <row r="7" spans="1:14" x14ac:dyDescent="0.35">
      <c r="A7" s="2" t="s">
        <v>13</v>
      </c>
      <c r="B7">
        <v>2382.2157781249998</v>
      </c>
      <c r="C7">
        <v>2327.9352488564814</v>
      </c>
      <c r="D7">
        <v>2466.6377561411578</v>
      </c>
      <c r="E7">
        <v>2336.6666666666665</v>
      </c>
      <c r="F7">
        <v>2275.6142204673711</v>
      </c>
      <c r="G7">
        <v>2215.29875892769</v>
      </c>
      <c r="H7">
        <v>2257.7852226934347</v>
      </c>
      <c r="I7">
        <v>2140.4615655150883</v>
      </c>
      <c r="J7">
        <v>2082.516463621414</v>
      </c>
      <c r="K7">
        <v>2081.3257969547467</v>
      </c>
      <c r="L7">
        <v>1730.8237707413964</v>
      </c>
      <c r="M7">
        <v>1697.503033545695</v>
      </c>
      <c r="N7">
        <v>2166.2320235213447</v>
      </c>
    </row>
    <row r="8" spans="1:14" x14ac:dyDescent="0.35">
      <c r="A8" s="2" t="s">
        <v>14</v>
      </c>
      <c r="B8">
        <v>1977.2817460317463</v>
      </c>
      <c r="C8">
        <v>1997.453963424603</v>
      </c>
      <c r="D8">
        <v>2040.671434825972</v>
      </c>
      <c r="E8">
        <v>2030</v>
      </c>
      <c r="F8">
        <v>1827.4887843403669</v>
      </c>
      <c r="G8">
        <v>1841.3393360604139</v>
      </c>
      <c r="H8">
        <v>1849.1939202978347</v>
      </c>
      <c r="I8">
        <v>1727.5992362058162</v>
      </c>
      <c r="J8">
        <v>1701.0678521700329</v>
      </c>
      <c r="K8">
        <v>1699.7105188367004</v>
      </c>
      <c r="L8">
        <v>1521.5791008095766</v>
      </c>
      <c r="M8">
        <v>1509.66659440691</v>
      </c>
      <c r="N8">
        <v>1810.254373950831</v>
      </c>
    </row>
    <row r="9" spans="1:14" x14ac:dyDescent="0.35">
      <c r="A9" s="2" t="s">
        <v>15</v>
      </c>
      <c r="B9">
        <v>6255.6967534166661</v>
      </c>
      <c r="C9">
        <v>6253.0015343333334</v>
      </c>
      <c r="D9">
        <v>6415.0757576016667</v>
      </c>
      <c r="E9">
        <v>6415.0757576016667</v>
      </c>
      <c r="F9">
        <v>6497.5</v>
      </c>
      <c r="G9">
        <v>6490.3105144331566</v>
      </c>
      <c r="H9">
        <v>6488.7127933599504</v>
      </c>
      <c r="I9">
        <v>6521.8401942542514</v>
      </c>
      <c r="J9">
        <v>6528.1849498255278</v>
      </c>
      <c r="K9">
        <v>6530.1609498255266</v>
      </c>
      <c r="L9">
        <v>6536.829850418143</v>
      </c>
      <c r="M9">
        <v>6540.4686498727933</v>
      </c>
      <c r="N9">
        <v>6456.071475411889</v>
      </c>
    </row>
    <row r="10" spans="1:14" x14ac:dyDescent="0.35">
      <c r="A10" s="2" t="s">
        <v>16</v>
      </c>
      <c r="B10">
        <v>1618.9814814814815</v>
      </c>
      <c r="C10">
        <v>1621.7592592592591</v>
      </c>
      <c r="D10">
        <v>1661.6527777777781</v>
      </c>
      <c r="E10">
        <v>1661.6527777777781</v>
      </c>
      <c r="F10">
        <v>1618.4403472222218</v>
      </c>
      <c r="G10">
        <v>1643.3333333333333</v>
      </c>
      <c r="H10">
        <v>1665.8333333333333</v>
      </c>
      <c r="I10">
        <v>1725</v>
      </c>
      <c r="J10">
        <v>1729.3333333333333</v>
      </c>
      <c r="K10">
        <v>1730.1426666666669</v>
      </c>
      <c r="L10">
        <v>1743.3775725590485</v>
      </c>
      <c r="M10">
        <v>1743.7604723333334</v>
      </c>
      <c r="N10">
        <v>1680.2722795897978</v>
      </c>
    </row>
    <row r="11" spans="1:14" x14ac:dyDescent="0.35">
      <c r="A11" s="2" t="s">
        <v>17</v>
      </c>
      <c r="B11">
        <v>1318.5185185185182</v>
      </c>
      <c r="C11">
        <v>1314.872685185185</v>
      </c>
      <c r="D11">
        <v>1371.5208333333333</v>
      </c>
      <c r="E11">
        <v>1371.5208333333333</v>
      </c>
      <c r="F11">
        <v>1386.2619047619046</v>
      </c>
      <c r="G11">
        <v>1393.7817460317456</v>
      </c>
      <c r="H11">
        <v>1401.5178388888883</v>
      </c>
      <c r="I11">
        <v>1396.9046182539685</v>
      </c>
      <c r="J11">
        <v>1400.0805158730152</v>
      </c>
      <c r="K11">
        <v>1399.8898492063483</v>
      </c>
      <c r="L11">
        <v>1408.8333333333333</v>
      </c>
      <c r="M11">
        <v>1408.6666666666667</v>
      </c>
      <c r="N11">
        <v>1381.0307786155199</v>
      </c>
    </row>
    <row r="12" spans="1:14" x14ac:dyDescent="0.35">
      <c r="A12" s="2" t="s">
        <v>18</v>
      </c>
      <c r="B12">
        <v>1964.7916666666667</v>
      </c>
      <c r="C12">
        <v>2080.0709219479163</v>
      </c>
      <c r="D12">
        <v>2229.4684396720836</v>
      </c>
      <c r="E12">
        <v>2229.4684396720836</v>
      </c>
      <c r="F12">
        <v>2228.6256900031035</v>
      </c>
      <c r="G12">
        <v>2163.6711602306591</v>
      </c>
      <c r="H12">
        <v>2188.6006392599415</v>
      </c>
      <c r="I12">
        <v>2124.448190158756</v>
      </c>
      <c r="J12">
        <v>2192.2921910495479</v>
      </c>
      <c r="K12">
        <v>2198.101524382882</v>
      </c>
      <c r="L12">
        <v>2209.3333333333335</v>
      </c>
      <c r="M12">
        <v>2216.1666666666665</v>
      </c>
      <c r="N12">
        <v>2168.7532385869695</v>
      </c>
    </row>
    <row r="13" spans="1:14" x14ac:dyDescent="0.35">
      <c r="A13" s="2" t="s">
        <v>19</v>
      </c>
      <c r="B13">
        <v>4971.6248506759266</v>
      </c>
      <c r="C13">
        <v>5018.1250000000009</v>
      </c>
      <c r="D13">
        <v>5308.0030839212968</v>
      </c>
      <c r="E13">
        <v>5308.0030839212968</v>
      </c>
      <c r="F13">
        <v>5495.0019328724966</v>
      </c>
      <c r="G13">
        <v>5547.427528110592</v>
      </c>
      <c r="H13">
        <v>5585.9508853296347</v>
      </c>
      <c r="I13">
        <v>5665</v>
      </c>
      <c r="J13">
        <v>5668.166666666667</v>
      </c>
      <c r="K13">
        <v>5672.8093333333336</v>
      </c>
      <c r="L13">
        <v>5745.587316848897</v>
      </c>
      <c r="M13">
        <v>5752.5</v>
      </c>
      <c r="N13">
        <v>5478.1833068066771</v>
      </c>
    </row>
    <row r="14" spans="1:14" x14ac:dyDescent="0.35">
      <c r="A14" s="2" t="s">
        <v>20</v>
      </c>
      <c r="B14">
        <v>4232.2222222222217</v>
      </c>
      <c r="C14">
        <v>4142.4206349444439</v>
      </c>
      <c r="D14">
        <v>4376.3380952566667</v>
      </c>
      <c r="E14">
        <v>4376.3380952566667</v>
      </c>
      <c r="F14">
        <v>4576.0641580773727</v>
      </c>
      <c r="G14">
        <v>4715.1604548374917</v>
      </c>
      <c r="H14">
        <v>4769.4128064094393</v>
      </c>
      <c r="I14">
        <v>4803.4069270636128</v>
      </c>
      <c r="J14">
        <v>4842.6758771929817</v>
      </c>
      <c r="K14">
        <v>4853.6518771929814</v>
      </c>
      <c r="L14">
        <v>4911.6242438006302</v>
      </c>
      <c r="M14">
        <v>4920.833333333333</v>
      </c>
      <c r="N14">
        <v>4626.6790604656535</v>
      </c>
    </row>
    <row r="15" spans="1:14" x14ac:dyDescent="0.35">
      <c r="A15" s="2" t="s">
        <v>21</v>
      </c>
      <c r="B15">
        <v>5550</v>
      </c>
      <c r="C15">
        <v>5536.666666666667</v>
      </c>
      <c r="D15">
        <v>5566.666666666667</v>
      </c>
      <c r="E15">
        <v>5566.666666666667</v>
      </c>
      <c r="F15">
        <v>5625</v>
      </c>
      <c r="G15">
        <v>5680</v>
      </c>
      <c r="H15">
        <v>5707.166666666667</v>
      </c>
      <c r="I15">
        <v>5725</v>
      </c>
      <c r="J15">
        <v>5702</v>
      </c>
      <c r="K15">
        <v>5715.1426666666666</v>
      </c>
      <c r="L15">
        <v>5750</v>
      </c>
      <c r="M15">
        <v>5795.833333333333</v>
      </c>
      <c r="N15">
        <v>5660.0118888888892</v>
      </c>
    </row>
    <row r="16" spans="1:14" x14ac:dyDescent="0.35">
      <c r="A16" s="2" t="s">
        <v>22</v>
      </c>
      <c r="B16">
        <v>4950.9259259166665</v>
      </c>
      <c r="C16">
        <v>5041.0052909722217</v>
      </c>
      <c r="D16">
        <v>5304.017857104167</v>
      </c>
      <c r="E16">
        <v>5287.3511904375</v>
      </c>
      <c r="F16">
        <v>5457.5417436828902</v>
      </c>
      <c r="G16">
        <v>5456.4417513845137</v>
      </c>
      <c r="H16">
        <v>5475.6006440013289</v>
      </c>
      <c r="I16">
        <v>5520.0858038720544</v>
      </c>
      <c r="J16">
        <v>5502.6352176715955</v>
      </c>
      <c r="K16">
        <v>5505.7778843382621</v>
      </c>
      <c r="L16">
        <v>5552.0430107857092</v>
      </c>
      <c r="M16">
        <v>5585.5337271402932</v>
      </c>
      <c r="N16">
        <v>5386.5800039422675</v>
      </c>
    </row>
    <row r="17" spans="1:14" x14ac:dyDescent="0.35">
      <c r="A17" s="2" t="s">
        <v>23</v>
      </c>
      <c r="B17">
        <v>5980.4135224583333</v>
      </c>
      <c r="C17">
        <v>6164.0388183611103</v>
      </c>
      <c r="D17">
        <v>6504.2509043701393</v>
      </c>
      <c r="E17">
        <v>6515.1140776666662</v>
      </c>
      <c r="F17">
        <v>9323.9787495063574</v>
      </c>
      <c r="G17">
        <v>10619.343319642494</v>
      </c>
      <c r="H17">
        <v>12300.588467678064</v>
      </c>
      <c r="I17">
        <v>9947.1094869460776</v>
      </c>
      <c r="J17">
        <v>9706.9443167989357</v>
      </c>
      <c r="K17">
        <v>9707.2536501322702</v>
      </c>
      <c r="L17">
        <v>9738.9173057288172</v>
      </c>
      <c r="M17">
        <v>9735.8588784559342</v>
      </c>
      <c r="N17">
        <v>8853.6509581454338</v>
      </c>
    </row>
    <row r="18" spans="1:14" x14ac:dyDescent="0.35">
      <c r="A18" s="2" t="s">
        <v>24</v>
      </c>
      <c r="B18">
        <v>5275</v>
      </c>
      <c r="C18">
        <v>5376.666666666667</v>
      </c>
      <c r="D18">
        <v>5496.0459183374996</v>
      </c>
      <c r="E18">
        <v>5508.5</v>
      </c>
      <c r="F18">
        <v>6330.7556760157941</v>
      </c>
      <c r="G18">
        <v>6798.6640346481727</v>
      </c>
      <c r="H18">
        <v>6946.4908454121796</v>
      </c>
      <c r="I18">
        <v>6723.7465550664174</v>
      </c>
      <c r="J18">
        <v>6751.0786307623648</v>
      </c>
      <c r="K18">
        <v>6756.0546307623654</v>
      </c>
      <c r="L18">
        <v>6811.1094543488316</v>
      </c>
      <c r="M18">
        <v>6831.735970696358</v>
      </c>
      <c r="N18">
        <v>6300.4873652263886</v>
      </c>
    </row>
    <row r="19" spans="1:14" x14ac:dyDescent="0.35">
      <c r="A19" s="2" t="s">
        <v>25</v>
      </c>
      <c r="B19">
        <v>1016.5416065396824</v>
      </c>
      <c r="C19">
        <v>1030.2171591488097</v>
      </c>
      <c r="D19">
        <v>1131.7212057790341</v>
      </c>
      <c r="E19">
        <v>1126.5610527330589</v>
      </c>
      <c r="F19">
        <v>1135.0021172246425</v>
      </c>
      <c r="G19">
        <v>1140.2181040956505</v>
      </c>
      <c r="H19">
        <v>1114.3691646562568</v>
      </c>
      <c r="I19">
        <v>930.81943809447785</v>
      </c>
      <c r="J19">
        <v>910.33239368578199</v>
      </c>
      <c r="K19">
        <v>911.14172701911536</v>
      </c>
      <c r="L19">
        <v>818.65957310498163</v>
      </c>
      <c r="M19">
        <v>808.33333333333337</v>
      </c>
      <c r="N19">
        <v>1006.1597396179021</v>
      </c>
    </row>
    <row r="20" spans="1:14" x14ac:dyDescent="0.35">
      <c r="A20" s="2" t="s">
        <v>26</v>
      </c>
      <c r="B20">
        <v>1140.4329467499999</v>
      </c>
      <c r="C20">
        <v>1165.5075138611112</v>
      </c>
      <c r="D20">
        <v>1296.4849754760721</v>
      </c>
      <c r="E20">
        <v>1271.8333333333333</v>
      </c>
      <c r="F20">
        <v>1329.5462651750772</v>
      </c>
      <c r="G20">
        <v>1344.9526757605638</v>
      </c>
      <c r="H20">
        <v>1312.9405110577734</v>
      </c>
      <c r="I20">
        <v>1094.4634312068895</v>
      </c>
      <c r="J20">
        <v>1109.8795083135294</v>
      </c>
      <c r="K20">
        <v>1110.022174980196</v>
      </c>
      <c r="L20">
        <v>1018.082604598535</v>
      </c>
      <c r="M20">
        <v>989.16666666666663</v>
      </c>
      <c r="N20">
        <v>1181.9427172649791</v>
      </c>
    </row>
    <row r="21" spans="1:14" x14ac:dyDescent="0.35">
      <c r="A21" s="2" t="s">
        <v>27</v>
      </c>
      <c r="B21">
        <v>4700</v>
      </c>
      <c r="C21">
        <v>4846.666666666667</v>
      </c>
      <c r="D21">
        <v>4926.666666666667</v>
      </c>
      <c r="E21">
        <v>4971.666666666667</v>
      </c>
      <c r="F21">
        <v>6273.9758670703095</v>
      </c>
      <c r="G21">
        <v>6565.0839021199199</v>
      </c>
      <c r="H21">
        <v>6674.1898764246662</v>
      </c>
      <c r="I21">
        <v>6722.1076692123343</v>
      </c>
      <c r="J21">
        <v>6627.3621831226765</v>
      </c>
      <c r="K21">
        <v>6626.5048497893431</v>
      </c>
      <c r="L21">
        <v>6635.0216375199825</v>
      </c>
      <c r="M21">
        <v>6662.1816093511161</v>
      </c>
      <c r="N21">
        <v>6019.2856328841963</v>
      </c>
    </row>
    <row r="22" spans="1:14" x14ac:dyDescent="0.35">
      <c r="A22" s="2" t="s">
        <v>28</v>
      </c>
      <c r="B22">
        <v>6820.9754554097226</v>
      </c>
      <c r="C22">
        <v>6788.3816527430563</v>
      </c>
      <c r="D22">
        <v>7055.0651967365266</v>
      </c>
      <c r="E22">
        <v>6950</v>
      </c>
      <c r="F22">
        <v>7214.1819280900563</v>
      </c>
      <c r="G22">
        <v>7198.1131708732501</v>
      </c>
      <c r="H22">
        <v>7239.8299160592542</v>
      </c>
      <c r="I22">
        <v>7249.8325069109314</v>
      </c>
      <c r="J22">
        <v>7186.3512786596111</v>
      </c>
      <c r="K22">
        <v>7196.6606119929447</v>
      </c>
      <c r="L22">
        <v>7231.1244838015273</v>
      </c>
      <c r="M22">
        <v>7234.0821537738884</v>
      </c>
      <c r="N22">
        <v>7113.7165295875629</v>
      </c>
    </row>
    <row r="23" spans="1:14" x14ac:dyDescent="0.35">
      <c r="A23" s="2" t="s">
        <v>29</v>
      </c>
      <c r="B23">
        <v>3386.6111111111109</v>
      </c>
      <c r="C23">
        <v>3503.2777777777774</v>
      </c>
      <c r="D23">
        <v>3719.0699999999997</v>
      </c>
      <c r="E23">
        <v>3716.6666666666665</v>
      </c>
      <c r="F23">
        <v>3447.0521626984123</v>
      </c>
      <c r="G23">
        <v>3492.2798615079359</v>
      </c>
      <c r="H23">
        <v>3407.2696287062668</v>
      </c>
      <c r="I23">
        <v>3332.967356944444</v>
      </c>
      <c r="J23">
        <v>3234.4906249999999</v>
      </c>
      <c r="K23">
        <v>3234.7999583333331</v>
      </c>
      <c r="L23">
        <v>3275.1832759810491</v>
      </c>
      <c r="M23">
        <v>3223.4980152512503</v>
      </c>
      <c r="N23">
        <v>3414.4305366648546</v>
      </c>
    </row>
    <row r="24" spans="1:14" x14ac:dyDescent="0.35">
      <c r="A24" s="2" t="s">
        <v>30</v>
      </c>
      <c r="B24">
        <v>2322.9166666666665</v>
      </c>
      <c r="C24">
        <v>2340.3333333333335</v>
      </c>
      <c r="D24">
        <v>2438.3333333333335</v>
      </c>
      <c r="E24">
        <v>2433.3333333333335</v>
      </c>
      <c r="F24">
        <v>2663.6674206349212</v>
      </c>
      <c r="G24">
        <v>2754.6742785714282</v>
      </c>
      <c r="H24">
        <v>2869.7605580952386</v>
      </c>
      <c r="I24">
        <v>2686.448095238095</v>
      </c>
      <c r="J24">
        <v>2695.8891865079363</v>
      </c>
      <c r="K24">
        <v>2701.6985198412699</v>
      </c>
      <c r="L24">
        <v>2738.0164429071719</v>
      </c>
      <c r="M24">
        <v>2724.3858361625003</v>
      </c>
      <c r="N24">
        <v>2614.1214170521025</v>
      </c>
    </row>
    <row r="25" spans="1:14" x14ac:dyDescent="0.35">
      <c r="A25" s="2" t="s">
        <v>31</v>
      </c>
      <c r="B25">
        <v>2198.6111111111113</v>
      </c>
      <c r="C25">
        <v>2092.1787517569446</v>
      </c>
      <c r="D25">
        <v>2201.9573683656249</v>
      </c>
      <c r="E25">
        <v>2211.6666666666665</v>
      </c>
      <c r="F25">
        <v>2239.9511774514772</v>
      </c>
      <c r="G25">
        <v>2205.8125456041457</v>
      </c>
      <c r="H25">
        <v>2129.7673474056951</v>
      </c>
      <c r="I25">
        <v>1798.1598503269481</v>
      </c>
      <c r="J25">
        <v>1775.7616730355501</v>
      </c>
      <c r="K25">
        <v>1777.7376730355502</v>
      </c>
      <c r="L25">
        <v>1816.8432919994668</v>
      </c>
      <c r="M25">
        <v>2275.9121849460748</v>
      </c>
      <c r="N25">
        <v>2060.363303475438</v>
      </c>
    </row>
    <row r="26" spans="1:14" x14ac:dyDescent="0.35">
      <c r="A26" s="2" t="s">
        <v>32</v>
      </c>
      <c r="B26">
        <v>3438.061085095238</v>
      </c>
      <c r="C26">
        <v>3488.0952380833332</v>
      </c>
      <c r="D26">
        <v>3593.3333333333335</v>
      </c>
      <c r="E26">
        <v>3150</v>
      </c>
      <c r="F26">
        <v>3133.1996982800588</v>
      </c>
      <c r="G26">
        <v>3109.8947049981848</v>
      </c>
      <c r="H26">
        <v>3136.56137166485</v>
      </c>
      <c r="I26">
        <v>2802.9973928680752</v>
      </c>
      <c r="J26">
        <v>2788.5299927662968</v>
      </c>
      <c r="K26">
        <v>2783.5059927662965</v>
      </c>
      <c r="L26">
        <v>2590.2843101660069</v>
      </c>
      <c r="M26">
        <v>2586.6864363383334</v>
      </c>
      <c r="N26">
        <v>3050.0957963633336</v>
      </c>
    </row>
    <row r="27" spans="1:14" x14ac:dyDescent="0.35">
      <c r="A27" s="2" t="s">
        <v>33</v>
      </c>
      <c r="B27">
        <v>4350.1719576203704</v>
      </c>
      <c r="C27">
        <v>4254.4360097083336</v>
      </c>
      <c r="D27">
        <v>4476.3752639466666</v>
      </c>
      <c r="E27">
        <v>4405</v>
      </c>
      <c r="F27">
        <v>4583.333333333333</v>
      </c>
      <c r="G27">
        <v>4809.0450155882309</v>
      </c>
      <c r="H27">
        <v>4961.6566747055449</v>
      </c>
      <c r="I27">
        <v>5108.2881248990416</v>
      </c>
      <c r="J27">
        <v>5140.9891104221433</v>
      </c>
      <c r="K27">
        <v>5143.2984437554769</v>
      </c>
      <c r="L27">
        <v>5197.6605464306895</v>
      </c>
      <c r="M27">
        <v>5211.4822649999996</v>
      </c>
      <c r="N27">
        <v>4803.4780621174859</v>
      </c>
    </row>
    <row r="28" spans="1:14" x14ac:dyDescent="0.35">
      <c r="A28" s="2" t="s">
        <v>34</v>
      </c>
      <c r="B28">
        <v>1212.0629852916666</v>
      </c>
      <c r="C28">
        <v>1187.0087598541666</v>
      </c>
      <c r="D28">
        <v>1311.375542699765</v>
      </c>
      <c r="E28">
        <v>1225</v>
      </c>
      <c r="F28">
        <v>1069.501308664114</v>
      </c>
      <c r="G28">
        <v>1065.9242633734748</v>
      </c>
      <c r="H28">
        <v>1065.655703444093</v>
      </c>
      <c r="I28">
        <v>888.25483878638863</v>
      </c>
      <c r="J28">
        <v>847.27169568009447</v>
      </c>
      <c r="K28">
        <v>848.43102901342775</v>
      </c>
      <c r="L28">
        <v>796.7699233781326</v>
      </c>
      <c r="M28">
        <v>777.35197243229504</v>
      </c>
      <c r="N28">
        <v>1024.5506685514681</v>
      </c>
    </row>
    <row r="29" spans="1:14" x14ac:dyDescent="0.35">
      <c r="A29" s="2" t="s">
        <v>35</v>
      </c>
      <c r="B29">
        <v>1143.2870370277783</v>
      </c>
      <c r="C29">
        <v>1139.4079294999999</v>
      </c>
      <c r="D29">
        <v>1161.5079365497218</v>
      </c>
      <c r="E29">
        <v>1199.1666666666667</v>
      </c>
      <c r="F29">
        <v>1565.2757580535215</v>
      </c>
      <c r="G29">
        <v>1637.4029591134886</v>
      </c>
      <c r="H29">
        <v>1676.3352296007167</v>
      </c>
      <c r="I29">
        <v>1259.361013218225</v>
      </c>
      <c r="J29">
        <v>1315.9459361147265</v>
      </c>
      <c r="K29">
        <v>1317.5886027813929</v>
      </c>
      <c r="L29">
        <v>1241.7429714053198</v>
      </c>
      <c r="M29">
        <v>1162.4132606842134</v>
      </c>
      <c r="N29">
        <v>1318.2862750596476</v>
      </c>
    </row>
    <row r="30" spans="1:14" x14ac:dyDescent="0.35">
      <c r="A30" s="2" t="s">
        <v>36</v>
      </c>
      <c r="B30">
        <v>2702.700854700855</v>
      </c>
      <c r="C30">
        <v>2706.034188034188</v>
      </c>
      <c r="D30">
        <v>2972.5933333333328</v>
      </c>
      <c r="E30">
        <v>2833.3333333333335</v>
      </c>
      <c r="F30">
        <v>2440.5664880952377</v>
      </c>
      <c r="G30">
        <v>2605.7575615079363</v>
      </c>
      <c r="H30">
        <v>2758.6249565764952</v>
      </c>
      <c r="I30">
        <v>2699.5287787698417</v>
      </c>
      <c r="J30">
        <v>2681.9721031746035</v>
      </c>
      <c r="K30">
        <v>2685.7814365079362</v>
      </c>
      <c r="L30">
        <v>2604.6037566692135</v>
      </c>
      <c r="M30">
        <v>2592.3747551933216</v>
      </c>
      <c r="N30">
        <v>2690.3226288246915</v>
      </c>
    </row>
    <row r="31" spans="1:14" x14ac:dyDescent="0.35">
      <c r="A31" s="2" t="s">
        <v>37</v>
      </c>
      <c r="B31">
        <v>1802.872875024759</v>
      </c>
      <c r="C31">
        <v>1838.9286305110718</v>
      </c>
      <c r="D31">
        <v>1888.3608073962032</v>
      </c>
      <c r="E31">
        <v>1983.3333333333333</v>
      </c>
      <c r="F31">
        <v>2050.8742657788994</v>
      </c>
      <c r="G31">
        <v>2115.810926927245</v>
      </c>
      <c r="H31">
        <v>2224.2039197471436</v>
      </c>
      <c r="I31">
        <v>2255.0726452876593</v>
      </c>
      <c r="J31">
        <v>2246.6935634118549</v>
      </c>
      <c r="K31">
        <v>2248.8362300785216</v>
      </c>
      <c r="L31">
        <v>2221.4751021036814</v>
      </c>
      <c r="M31">
        <v>2199.4526982443235</v>
      </c>
      <c r="N31">
        <v>2089.6595831537247</v>
      </c>
    </row>
    <row r="32" spans="1:14" x14ac:dyDescent="0.35">
      <c r="A32" s="2" t="s">
        <v>38</v>
      </c>
      <c r="B32">
        <v>1894.9377528981483</v>
      </c>
      <c r="C32">
        <v>1819.1059822037039</v>
      </c>
      <c r="D32">
        <v>1951.3292793122557</v>
      </c>
      <c r="E32">
        <v>2166.6666666666665</v>
      </c>
      <c r="F32">
        <v>2107.7242958830966</v>
      </c>
      <c r="G32">
        <v>2170.6590113835914</v>
      </c>
      <c r="H32">
        <v>2247.4154750333769</v>
      </c>
      <c r="I32">
        <v>2215.4873449575407</v>
      </c>
      <c r="J32">
        <v>2202.2430605299883</v>
      </c>
      <c r="K32">
        <v>2203.7190605299879</v>
      </c>
      <c r="L32">
        <v>2145.671462251602</v>
      </c>
      <c r="M32">
        <v>2147.8293412650969</v>
      </c>
      <c r="N32">
        <v>2106.0657277429209</v>
      </c>
    </row>
    <row r="33" spans="1:14" x14ac:dyDescent="0.35">
      <c r="A33" s="2" t="s">
        <v>39</v>
      </c>
      <c r="B33">
        <v>2080.8451451611113</v>
      </c>
      <c r="C33">
        <v>2000.0973782777776</v>
      </c>
      <c r="D33">
        <v>2126.6578113832406</v>
      </c>
      <c r="E33">
        <v>2083.3333333333335</v>
      </c>
      <c r="F33">
        <v>2034.4640988821091</v>
      </c>
      <c r="G33">
        <v>2038.318678457181</v>
      </c>
      <c r="H33">
        <v>2042.3639064420565</v>
      </c>
      <c r="I33">
        <v>1977.1386220459001</v>
      </c>
      <c r="J33">
        <v>1970.4099150269424</v>
      </c>
      <c r="K33">
        <v>1966.8859150269434</v>
      </c>
      <c r="L33">
        <v>1942.9822855879038</v>
      </c>
      <c r="M33">
        <v>1939.3646643076165</v>
      </c>
      <c r="N33">
        <v>2016.9051461610095</v>
      </c>
    </row>
    <row r="34" spans="1:14" x14ac:dyDescent="0.35">
      <c r="A34" s="2" t="s">
        <v>40</v>
      </c>
      <c r="B34">
        <v>2422.4681714166668</v>
      </c>
      <c r="C34">
        <v>2418.6733101041664</v>
      </c>
      <c r="D34">
        <v>2489.9835700449999</v>
      </c>
      <c r="E34">
        <v>2400</v>
      </c>
      <c r="F34">
        <v>2341.6800218088724</v>
      </c>
      <c r="G34">
        <v>2328.5917054153692</v>
      </c>
      <c r="H34">
        <v>2349.2633031896548</v>
      </c>
      <c r="I34">
        <v>2257.6446241890335</v>
      </c>
      <c r="J34">
        <v>2239.0259574816168</v>
      </c>
      <c r="K34">
        <v>2232.33529081495</v>
      </c>
      <c r="L34">
        <v>2207.975338038987</v>
      </c>
      <c r="M34">
        <v>2200.9336349805549</v>
      </c>
      <c r="N34">
        <v>2324.0479106237394</v>
      </c>
    </row>
    <row r="35" spans="1:14" x14ac:dyDescent="0.35">
      <c r="A35" s="2" t="s">
        <v>41</v>
      </c>
      <c r="B35">
        <v>1924.7222222222224</v>
      </c>
      <c r="C35">
        <v>1904.6180555555557</v>
      </c>
      <c r="D35">
        <v>2010.7708333333333</v>
      </c>
      <c r="E35">
        <v>2046.6666666666667</v>
      </c>
      <c r="F35">
        <v>2140.9538095238108</v>
      </c>
      <c r="G35">
        <v>2134.934920634922</v>
      </c>
      <c r="H35">
        <v>2173.8309887931719</v>
      </c>
      <c r="I35">
        <v>2261.7880722222217</v>
      </c>
      <c r="J35">
        <v>2245.7650396825402</v>
      </c>
      <c r="K35">
        <v>2245.9077063492068</v>
      </c>
      <c r="L35">
        <v>2239.9551113554767</v>
      </c>
      <c r="M35">
        <v>2235.9499902777784</v>
      </c>
      <c r="N35">
        <v>2130.488618051409</v>
      </c>
    </row>
    <row r="36" spans="1:14" x14ac:dyDescent="0.35">
      <c r="A36" s="2" t="s">
        <v>42</v>
      </c>
      <c r="B36">
        <v>5618.3333333500004</v>
      </c>
      <c r="C36">
        <v>5566.0767569861118</v>
      </c>
      <c r="D36">
        <v>5854.2870322059716</v>
      </c>
      <c r="E36">
        <v>5838.333333333333</v>
      </c>
      <c r="F36">
        <v>6341.8175316112684</v>
      </c>
      <c r="G36">
        <v>6557.3501371854773</v>
      </c>
      <c r="H36">
        <v>6590.5396209179826</v>
      </c>
      <c r="I36">
        <v>6235.7353894844682</v>
      </c>
      <c r="J36">
        <v>6290.763857691989</v>
      </c>
      <c r="K36">
        <v>6292.0731910253226</v>
      </c>
      <c r="L36">
        <v>6290</v>
      </c>
      <c r="M36">
        <v>6290.5</v>
      </c>
      <c r="N36">
        <v>6147.1508486493267</v>
      </c>
    </row>
    <row r="37" spans="1:14" x14ac:dyDescent="0.35">
      <c r="A37" s="2" t="s">
        <v>43</v>
      </c>
      <c r="B37">
        <v>635.44935567063487</v>
      </c>
      <c r="C37">
        <v>601.21165599801589</v>
      </c>
      <c r="D37">
        <v>667.74257168359077</v>
      </c>
      <c r="E37">
        <v>687.5</v>
      </c>
      <c r="F37">
        <v>1071.3232851502976</v>
      </c>
      <c r="G37">
        <v>1169.6070055670339</v>
      </c>
      <c r="H37">
        <v>1297.1380462016712</v>
      </c>
      <c r="I37">
        <v>900.76533148253463</v>
      </c>
      <c r="J37">
        <v>838.94808399741908</v>
      </c>
      <c r="K37">
        <v>841.09075066408593</v>
      </c>
      <c r="L37">
        <v>708.08866048572202</v>
      </c>
      <c r="M37">
        <v>689.53153514955159</v>
      </c>
      <c r="N37">
        <v>842.3663568375465</v>
      </c>
    </row>
    <row r="38" spans="1:14" x14ac:dyDescent="0.35">
      <c r="A38" s="2" t="s">
        <v>44</v>
      </c>
      <c r="B38">
        <v>5037.3091083571426</v>
      </c>
      <c r="C38">
        <v>5120.4594017499994</v>
      </c>
      <c r="D38">
        <v>5276.3472222843047</v>
      </c>
      <c r="E38">
        <v>5305</v>
      </c>
      <c r="F38">
        <v>5544.791666666667</v>
      </c>
      <c r="G38">
        <v>6010.6782684661275</v>
      </c>
      <c r="H38">
        <v>6035.3268679563917</v>
      </c>
      <c r="I38">
        <v>6056.1502400426734</v>
      </c>
      <c r="J38">
        <v>6009.2967943968033</v>
      </c>
      <c r="K38">
        <v>6012.272794396803</v>
      </c>
      <c r="L38">
        <v>6053.9597731761214</v>
      </c>
      <c r="M38">
        <v>6054.1039520789209</v>
      </c>
      <c r="N38">
        <v>5709.6413407976643</v>
      </c>
    </row>
    <row r="39" spans="1:14" x14ac:dyDescent="0.35">
      <c r="A39" s="2" t="s">
        <v>45</v>
      </c>
      <c r="B39">
        <v>921.61680911680924</v>
      </c>
      <c r="C39">
        <v>883.96990740740739</v>
      </c>
      <c r="D39">
        <v>963.64583333333337</v>
      </c>
      <c r="E39">
        <v>958.33333333333337</v>
      </c>
      <c r="F39">
        <v>993.78626984126856</v>
      </c>
      <c r="G39">
        <v>1056.7612301587303</v>
      </c>
      <c r="H39">
        <v>1089.0619512284768</v>
      </c>
      <c r="I39">
        <v>1058.8392624999999</v>
      </c>
      <c r="J39">
        <v>1043.4704861111111</v>
      </c>
      <c r="K39">
        <v>1046.4464861111117</v>
      </c>
      <c r="L39">
        <v>1055.270576785713</v>
      </c>
      <c r="M39">
        <v>1054.9399441666667</v>
      </c>
      <c r="N39">
        <v>1010.5118408411635</v>
      </c>
    </row>
    <row r="40" spans="1:14" x14ac:dyDescent="0.35">
      <c r="A40" s="2" t="s">
        <v>46</v>
      </c>
      <c r="B40">
        <v>819.35185185185185</v>
      </c>
      <c r="C40">
        <v>789.0625</v>
      </c>
      <c r="D40">
        <v>830.27083333333337</v>
      </c>
      <c r="E40">
        <v>835</v>
      </c>
      <c r="F40">
        <v>874.03261904761905</v>
      </c>
      <c r="G40">
        <v>928.44976984126981</v>
      </c>
      <c r="H40">
        <v>960.87934692370163</v>
      </c>
      <c r="I40">
        <v>909.05746666666664</v>
      </c>
      <c r="J40">
        <v>899.23291666666671</v>
      </c>
      <c r="K40">
        <v>907.87558333333345</v>
      </c>
      <c r="L40">
        <v>904.94959437015848</v>
      </c>
      <c r="M40">
        <v>904.84273637333342</v>
      </c>
      <c r="N40">
        <v>880.25043486732784</v>
      </c>
    </row>
    <row r="41" spans="1:14" x14ac:dyDescent="0.35">
      <c r="A41" s="2" t="s">
        <v>47</v>
      </c>
      <c r="B41">
        <v>4704.344310403133</v>
      </c>
      <c r="C41">
        <v>4812.942888656481</v>
      </c>
      <c r="D41">
        <v>5106.3786739626403</v>
      </c>
      <c r="E41">
        <v>5081.666666666667</v>
      </c>
      <c r="F41">
        <v>5763.9415734974791</v>
      </c>
      <c r="G41">
        <v>5815.6082401641461</v>
      </c>
      <c r="H41">
        <v>5911.9886236407101</v>
      </c>
      <c r="I41">
        <v>5925.6231485807957</v>
      </c>
      <c r="J41">
        <v>5916.620608271347</v>
      </c>
      <c r="K41">
        <v>5920.2632749380136</v>
      </c>
      <c r="L41">
        <v>5918.8781038081679</v>
      </c>
      <c r="M41">
        <v>5934.3313400104353</v>
      </c>
      <c r="N41">
        <v>5567.7156210500007</v>
      </c>
    </row>
    <row r="42" spans="1:14" x14ac:dyDescent="0.35">
      <c r="A42" s="2" t="s">
        <v>48</v>
      </c>
      <c r="B42">
        <v>1316.0256409861115</v>
      </c>
      <c r="C42">
        <v>1351.2950938055551</v>
      </c>
      <c r="D42">
        <v>1387.69930072593</v>
      </c>
      <c r="E42">
        <v>1395</v>
      </c>
      <c r="F42">
        <v>1578.7045342650524</v>
      </c>
      <c r="G42">
        <v>1654.3022569292091</v>
      </c>
      <c r="H42">
        <v>1600.2680141309436</v>
      </c>
      <c r="I42">
        <v>1355.6876077866029</v>
      </c>
      <c r="J42">
        <v>1371.20040683093</v>
      </c>
      <c r="K42">
        <v>1372.3430734975962</v>
      </c>
      <c r="L42">
        <v>1309.1023644724501</v>
      </c>
      <c r="M42">
        <v>1188.7462368461333</v>
      </c>
      <c r="N42">
        <v>1406.697877523043</v>
      </c>
    </row>
    <row r="43" spans="1:14" x14ac:dyDescent="0.35">
      <c r="A43" s="2" t="s">
        <v>49</v>
      </c>
      <c r="B43">
        <v>3612.2916666111109</v>
      </c>
      <c r="C43">
        <v>3589.3124999444444</v>
      </c>
      <c r="D43">
        <v>3833.375</v>
      </c>
      <c r="E43">
        <v>3816.6666666666665</v>
      </c>
      <c r="F43">
        <v>3523.670515873016</v>
      </c>
      <c r="G43">
        <v>3524.2121825396821</v>
      </c>
      <c r="H43">
        <v>3459.7684329166045</v>
      </c>
      <c r="I43">
        <v>3051.7314201388895</v>
      </c>
      <c r="J43">
        <v>3034.9788194444441</v>
      </c>
      <c r="K43">
        <v>3038.7881527777786</v>
      </c>
      <c r="L43">
        <v>3024.1880482058787</v>
      </c>
      <c r="M43">
        <v>3023.9778807176467</v>
      </c>
      <c r="N43">
        <v>3377.7467738196797</v>
      </c>
    </row>
    <row r="44" spans="1:14" x14ac:dyDescent="0.35">
      <c r="A44" s="2" t="s">
        <v>50</v>
      </c>
      <c r="B44">
        <v>1829.1666666666667</v>
      </c>
      <c r="C44">
        <v>1924.1666666666667</v>
      </c>
      <c r="D44">
        <v>2005.8083333333334</v>
      </c>
      <c r="E44">
        <v>2020.5</v>
      </c>
      <c r="F44">
        <v>2224.5309523809524</v>
      </c>
      <c r="G44">
        <v>2306.4878571428576</v>
      </c>
      <c r="H44">
        <v>2334.9931862698418</v>
      </c>
      <c r="I44">
        <v>2307.1801777777778</v>
      </c>
      <c r="J44">
        <v>2300.4050000000007</v>
      </c>
      <c r="K44">
        <v>2302.3809999999999</v>
      </c>
      <c r="L44">
        <v>2376.6529706276656</v>
      </c>
      <c r="M44">
        <v>2385.3854102481614</v>
      </c>
      <c r="N44">
        <v>2193.1381850928269</v>
      </c>
    </row>
    <row r="45" spans="1:14" x14ac:dyDescent="0.35">
      <c r="A45" s="2" t="s">
        <v>51</v>
      </c>
      <c r="B45">
        <v>3382.9761904761908</v>
      </c>
      <c r="C45">
        <v>3443.2291666666665</v>
      </c>
      <c r="D45">
        <v>3704.3720238095243</v>
      </c>
      <c r="E45">
        <v>3683.3333333333335</v>
      </c>
      <c r="F45">
        <v>3746.7177028660712</v>
      </c>
      <c r="G45">
        <v>3792.296948897816</v>
      </c>
      <c r="H45">
        <v>3807.7484529966619</v>
      </c>
      <c r="I45">
        <v>3495.259526587301</v>
      </c>
      <c r="J45">
        <v>3512.8682619047613</v>
      </c>
      <c r="K45">
        <v>3516.3442619047619</v>
      </c>
      <c r="L45">
        <v>3600.8322255376515</v>
      </c>
      <c r="M45">
        <v>3604.0368679030548</v>
      </c>
      <c r="N45">
        <v>3607.5012469069839</v>
      </c>
    </row>
    <row r="46" spans="1:14" x14ac:dyDescent="0.35">
      <c r="A46" s="2" t="s">
        <v>52</v>
      </c>
      <c r="B46">
        <v>1960.2417749722226</v>
      </c>
      <c r="C46">
        <v>1939.025100111111</v>
      </c>
      <c r="D46">
        <v>2121.4152833428702</v>
      </c>
      <c r="E46">
        <v>2193.3333333333335</v>
      </c>
      <c r="F46">
        <v>2441.857786375082</v>
      </c>
      <c r="G46">
        <v>2464.9638700888577</v>
      </c>
      <c r="H46">
        <v>2337.6420301712437</v>
      </c>
      <c r="I46">
        <v>1929.9311378323393</v>
      </c>
      <c r="J46">
        <v>1830.7892714346028</v>
      </c>
      <c r="K46">
        <v>1831.2652714346032</v>
      </c>
      <c r="L46">
        <v>1874.7027740062915</v>
      </c>
      <c r="M46">
        <v>1885.7069022385915</v>
      </c>
      <c r="N46">
        <v>2067.5728779450956</v>
      </c>
    </row>
    <row r="47" spans="1:14" x14ac:dyDescent="0.35">
      <c r="A47" s="2" t="s">
        <v>76</v>
      </c>
    </row>
    <row r="48" spans="1:14" x14ac:dyDescent="0.35">
      <c r="A48" s="2" t="s">
        <v>77</v>
      </c>
      <c r="B48">
        <v>3024.3769402703706</v>
      </c>
      <c r="C48">
        <v>3041.2010714062785</v>
      </c>
      <c r="D48">
        <v>3189.158406921747</v>
      </c>
      <c r="E48">
        <v>3171.9067930571437</v>
      </c>
      <c r="F48">
        <v>3363.9385847142375</v>
      </c>
      <c r="G48">
        <v>3459.8181851303489</v>
      </c>
      <c r="H48">
        <v>3535.9729812564728</v>
      </c>
      <c r="I48">
        <v>3356.6654997431333</v>
      </c>
      <c r="J48">
        <v>3339.0017829810567</v>
      </c>
      <c r="K48">
        <v>3341.1230210762947</v>
      </c>
      <c r="L48">
        <v>3323.9953658555246</v>
      </c>
      <c r="M48">
        <v>3329.2752217219613</v>
      </c>
      <c r="N48">
        <v>3289.7028211778807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9804-9CD4-4AA3-9618-18691BE270FB}">
  <sheetPr>
    <tabColor rgb="FF00B050"/>
  </sheetPr>
  <dimension ref="A1:S13"/>
  <sheetViews>
    <sheetView topLeftCell="E1" workbookViewId="0">
      <selection activeCell="I2" sqref="I2"/>
    </sheetView>
  </sheetViews>
  <sheetFormatPr defaultRowHeight="14.5" x14ac:dyDescent="0.35"/>
  <cols>
    <col min="2" max="2" width="13.6328125" bestFit="1" customWidth="1"/>
    <col min="3" max="3" width="16" bestFit="1" customWidth="1"/>
    <col min="4" max="4" width="13.6328125" customWidth="1"/>
    <col min="5" max="5" width="11.81640625" bestFit="1" customWidth="1"/>
    <col min="6" max="6" width="23.36328125" bestFit="1" customWidth="1"/>
    <col min="7" max="7" width="21.54296875" bestFit="1" customWidth="1"/>
    <col min="8" max="8" width="11.81640625" bestFit="1" customWidth="1"/>
    <col min="9" max="9" width="22.08984375" bestFit="1" customWidth="1"/>
    <col min="10" max="10" width="15" bestFit="1" customWidth="1"/>
    <col min="14" max="14" width="22.08984375" bestFit="1" customWidth="1"/>
    <col min="17" max="17" width="14.54296875" bestFit="1" customWidth="1"/>
    <col min="19" max="19" width="18.1796875" bestFit="1" customWidth="1"/>
  </cols>
  <sheetData>
    <row r="1" spans="1:19" s="10" customFormat="1" x14ac:dyDescent="0.35">
      <c r="A1" s="8" t="s">
        <v>8</v>
      </c>
      <c r="B1" s="9" t="s">
        <v>10</v>
      </c>
      <c r="C1" s="9" t="s">
        <v>87</v>
      </c>
      <c r="D1" s="9" t="s">
        <v>83</v>
      </c>
      <c r="E1" s="9" t="s">
        <v>13</v>
      </c>
      <c r="F1" s="9" t="s">
        <v>84</v>
      </c>
      <c r="G1" s="9" t="s">
        <v>85</v>
      </c>
      <c r="H1" s="9" t="s">
        <v>25</v>
      </c>
      <c r="I1" s="9" t="s">
        <v>86</v>
      </c>
      <c r="J1" s="9" t="s">
        <v>88</v>
      </c>
      <c r="K1" s="9" t="s">
        <v>35</v>
      </c>
      <c r="L1" s="9" t="s">
        <v>89</v>
      </c>
      <c r="M1" s="9" t="s">
        <v>92</v>
      </c>
      <c r="N1" s="9" t="s">
        <v>39</v>
      </c>
      <c r="O1" s="9" t="s">
        <v>90</v>
      </c>
      <c r="P1" s="9" t="s">
        <v>93</v>
      </c>
      <c r="Q1" s="9" t="s">
        <v>48</v>
      </c>
      <c r="R1" s="10" t="s">
        <v>91</v>
      </c>
      <c r="S1" s="10" t="s">
        <v>94</v>
      </c>
    </row>
    <row r="2" spans="1:19" x14ac:dyDescent="0.35">
      <c r="A2" s="8" t="s">
        <v>60</v>
      </c>
      <c r="B2">
        <v>250.83333333333334</v>
      </c>
      <c r="E2">
        <v>2382.2157781249998</v>
      </c>
      <c r="H2">
        <v>1016.5416065396824</v>
      </c>
      <c r="K2">
        <v>1143.2870370277783</v>
      </c>
      <c r="N2">
        <v>2080.8451451611113</v>
      </c>
      <c r="Q2">
        <v>1316.0256409861115</v>
      </c>
    </row>
    <row r="3" spans="1:19" x14ac:dyDescent="0.35">
      <c r="A3" s="8" t="s">
        <v>58</v>
      </c>
      <c r="B3">
        <v>257.5</v>
      </c>
      <c r="E3">
        <v>2327.9352488564814</v>
      </c>
      <c r="H3">
        <v>1030.2171591488097</v>
      </c>
      <c r="K3">
        <v>1139.4079294999999</v>
      </c>
      <c r="N3">
        <v>2000.0973782777776</v>
      </c>
      <c r="Q3">
        <v>1351.2950938055551</v>
      </c>
    </row>
    <row r="4" spans="1:19" x14ac:dyDescent="0.35">
      <c r="A4" s="8" t="s">
        <v>66</v>
      </c>
      <c r="B4">
        <v>268.66666666666669</v>
      </c>
      <c r="C4">
        <f>AVERAGE(B2:B4)</f>
        <v>259</v>
      </c>
      <c r="D4" t="str">
        <f>IF(B4&gt;C4,"SPIKE","")</f>
        <v>SPIKE</v>
      </c>
      <c r="E4">
        <v>2466.6377561411578</v>
      </c>
      <c r="F4">
        <f>AVERAGE(E2:E4)</f>
        <v>2392.2629277075462</v>
      </c>
      <c r="G4" t="str">
        <f>IF(E4&gt;F4,"SPIKE","")</f>
        <v>SPIKE</v>
      </c>
      <c r="H4">
        <v>1131.7212057790341</v>
      </c>
      <c r="I4">
        <f>AVERAGE(H2:H4)</f>
        <v>1059.4933238225087</v>
      </c>
      <c r="J4" t="str">
        <f>IF(H4&gt;I4,"SPIKE", "")</f>
        <v>SPIKE</v>
      </c>
      <c r="K4">
        <v>1161.5079365497218</v>
      </c>
      <c r="L4">
        <f>AVERAGE(K2:K4)</f>
        <v>1148.0676343591665</v>
      </c>
      <c r="M4" t="str">
        <f>IF(K4&gt;L4,"SPIKE","")</f>
        <v>SPIKE</v>
      </c>
      <c r="N4">
        <v>2126.6578113832406</v>
      </c>
      <c r="O4">
        <f>AVERAGE(N2:N4)</f>
        <v>2069.2001116073766</v>
      </c>
      <c r="P4" t="str">
        <f>IF(N4&gt;O4,"SPIKE","")</f>
        <v>SPIKE</v>
      </c>
      <c r="Q4">
        <v>1387.69930072593</v>
      </c>
      <c r="R4">
        <f>AVERAGE(Q2:Q4)</f>
        <v>1351.6733451725322</v>
      </c>
      <c r="S4" t="str">
        <f>IF(Q4&gt;R4,"SPIKE","")</f>
        <v>SPIKE</v>
      </c>
    </row>
    <row r="5" spans="1:19" x14ac:dyDescent="0.35">
      <c r="A5" s="8" t="s">
        <v>11</v>
      </c>
      <c r="B5">
        <v>258.16666666666669</v>
      </c>
      <c r="C5">
        <f>AVERAGE(B3:B5)</f>
        <v>261.44444444444451</v>
      </c>
      <c r="D5" t="str">
        <f t="shared" ref="D5:D13" si="0">IF(B5&gt;C5,"SPIKE","")</f>
        <v/>
      </c>
      <c r="E5">
        <v>2336.6666666666665</v>
      </c>
      <c r="F5">
        <f>AVERAGE(E3:E5)</f>
        <v>2377.0798905547686</v>
      </c>
      <c r="G5" t="str">
        <f t="shared" ref="G5:G13" si="1">IF(E5&gt;F5,"SPIKE","")</f>
        <v/>
      </c>
      <c r="H5">
        <v>1126.5610527330589</v>
      </c>
      <c r="I5">
        <f>AVERAGE(H3:H5)</f>
        <v>1096.1664725536341</v>
      </c>
      <c r="J5" t="str">
        <f t="shared" ref="J5:J13" si="2">IF(H5&gt;I5,"SPIKE", "")</f>
        <v>SPIKE</v>
      </c>
      <c r="K5">
        <v>1199.1666666666667</v>
      </c>
      <c r="L5">
        <f>AVERAGE(K3:K5)</f>
        <v>1166.6941775721295</v>
      </c>
      <c r="M5" t="str">
        <f t="shared" ref="M5:M13" si="3">IF(K5&gt;L5,"SPIKE","")</f>
        <v>SPIKE</v>
      </c>
      <c r="N5">
        <v>2083.3333333333335</v>
      </c>
      <c r="O5">
        <f>AVERAGE(N3:N5)</f>
        <v>2070.029507664784</v>
      </c>
      <c r="P5" t="str">
        <f t="shared" ref="P5:P13" si="4">IF(N5&gt;O5,"SPIKE","")</f>
        <v>SPIKE</v>
      </c>
      <c r="Q5">
        <v>1395</v>
      </c>
      <c r="R5">
        <f>AVERAGE(Q3:Q5)</f>
        <v>1377.9981315104951</v>
      </c>
      <c r="S5" t="str">
        <f t="shared" ref="S5:S13" si="5">IF(Q5&gt;R5,"SPIKE","")</f>
        <v>SPIKE</v>
      </c>
    </row>
    <row r="6" spans="1:19" x14ac:dyDescent="0.35">
      <c r="A6" s="8" t="s">
        <v>68</v>
      </c>
      <c r="B6">
        <v>269.53956349206351</v>
      </c>
      <c r="C6">
        <f>AVERAGE(B4:B6)</f>
        <v>265.45763227513231</v>
      </c>
      <c r="D6" t="str">
        <f t="shared" si="0"/>
        <v>SPIKE</v>
      </c>
      <c r="E6">
        <v>2275.6142204673711</v>
      </c>
      <c r="F6">
        <f t="shared" ref="F6:F13" si="6">AVERAGE(E4:E6)</f>
        <v>2359.6395477583987</v>
      </c>
      <c r="G6" t="str">
        <f t="shared" si="1"/>
        <v/>
      </c>
      <c r="H6">
        <v>1135.0021172246425</v>
      </c>
      <c r="I6">
        <f t="shared" ref="I6:I13" si="7">AVERAGE(H4:H6)</f>
        <v>1131.0947919122452</v>
      </c>
      <c r="J6" t="str">
        <f t="shared" si="2"/>
        <v>SPIKE</v>
      </c>
      <c r="K6">
        <v>1565.2757580535215</v>
      </c>
      <c r="L6">
        <f t="shared" ref="L6:L13" si="8">AVERAGE(K4:K6)</f>
        <v>1308.6501204233034</v>
      </c>
      <c r="M6" t="str">
        <f t="shared" si="3"/>
        <v>SPIKE</v>
      </c>
      <c r="N6">
        <v>2034.4640988821091</v>
      </c>
      <c r="O6">
        <f t="shared" ref="O6:O13" si="9">AVERAGE(N4:N6)</f>
        <v>2081.4850811995611</v>
      </c>
      <c r="P6" t="str">
        <f t="shared" si="4"/>
        <v/>
      </c>
      <c r="Q6">
        <v>1578.7045342650524</v>
      </c>
      <c r="R6">
        <f t="shared" ref="R6:R13" si="10">AVERAGE(Q4:Q6)</f>
        <v>1453.8012783303275</v>
      </c>
      <c r="S6" t="str">
        <f t="shared" si="5"/>
        <v>SPIKE</v>
      </c>
    </row>
    <row r="7" spans="1:19" x14ac:dyDescent="0.35">
      <c r="A7" s="8" t="s">
        <v>64</v>
      </c>
      <c r="B7">
        <v>267.53311825396827</v>
      </c>
      <c r="C7">
        <f>AVERAGE(B5:B7)</f>
        <v>265.07978280423282</v>
      </c>
      <c r="D7" t="str">
        <f t="shared" si="0"/>
        <v>SPIKE</v>
      </c>
      <c r="E7">
        <v>2215.29875892769</v>
      </c>
      <c r="F7">
        <f t="shared" si="6"/>
        <v>2275.8598820205757</v>
      </c>
      <c r="G7" t="str">
        <f t="shared" si="1"/>
        <v/>
      </c>
      <c r="H7">
        <v>1140.2181040956505</v>
      </c>
      <c r="I7">
        <f t="shared" si="7"/>
        <v>1133.9270913511173</v>
      </c>
      <c r="J7" t="str">
        <f t="shared" si="2"/>
        <v>SPIKE</v>
      </c>
      <c r="K7">
        <v>1637.4029591134886</v>
      </c>
      <c r="L7">
        <f>AVERAGE(K5:K7)</f>
        <v>1467.2817946112257</v>
      </c>
      <c r="M7" t="str">
        <f t="shared" si="3"/>
        <v>SPIKE</v>
      </c>
      <c r="N7">
        <v>2038.318678457181</v>
      </c>
      <c r="O7">
        <f t="shared" si="9"/>
        <v>2052.0387035575409</v>
      </c>
      <c r="P7" t="str">
        <f t="shared" si="4"/>
        <v/>
      </c>
      <c r="Q7">
        <v>1654.3022569292091</v>
      </c>
      <c r="R7">
        <f t="shared" si="10"/>
        <v>1542.6689303980872</v>
      </c>
      <c r="S7" t="str">
        <f t="shared" si="5"/>
        <v>SPIKE</v>
      </c>
    </row>
    <row r="8" spans="1:19" x14ac:dyDescent="0.35">
      <c r="A8" s="8" t="s">
        <v>62</v>
      </c>
      <c r="B8">
        <v>263.83333333333331</v>
      </c>
      <c r="C8">
        <f t="shared" ref="C8:C13" si="11">AVERAGE(B6:B8)</f>
        <v>266.96867169312168</v>
      </c>
      <c r="D8" t="str">
        <f>IF(B8&gt;C8,"SPIKE","")</f>
        <v/>
      </c>
      <c r="E8">
        <v>2257.7852226934347</v>
      </c>
      <c r="F8">
        <f t="shared" si="6"/>
        <v>2249.5660673628322</v>
      </c>
      <c r="G8" t="str">
        <f t="shared" si="1"/>
        <v>SPIKE</v>
      </c>
      <c r="H8">
        <v>1114.3691646562568</v>
      </c>
      <c r="I8">
        <f t="shared" si="7"/>
        <v>1129.8631286588497</v>
      </c>
      <c r="J8" t="str">
        <f t="shared" si="2"/>
        <v/>
      </c>
      <c r="K8">
        <v>1676.3352296007167</v>
      </c>
      <c r="L8">
        <f>AVERAGE(K6:K8)</f>
        <v>1626.3379822559091</v>
      </c>
      <c r="M8" t="str">
        <f t="shared" si="3"/>
        <v>SPIKE</v>
      </c>
      <c r="N8">
        <v>2042.3639064420565</v>
      </c>
      <c r="O8">
        <f t="shared" si="9"/>
        <v>2038.3822279271155</v>
      </c>
      <c r="P8" t="str">
        <f t="shared" si="4"/>
        <v>SPIKE</v>
      </c>
      <c r="Q8">
        <v>1600.2680141309436</v>
      </c>
      <c r="R8">
        <f t="shared" si="10"/>
        <v>1611.0916017750685</v>
      </c>
      <c r="S8" t="str">
        <f t="shared" si="5"/>
        <v/>
      </c>
    </row>
    <row r="9" spans="1:19" x14ac:dyDescent="0.35">
      <c r="A9" s="8" t="s">
        <v>54</v>
      </c>
      <c r="B9">
        <v>248.71244345238097</v>
      </c>
      <c r="C9">
        <f t="shared" si="11"/>
        <v>260.02629834656085</v>
      </c>
      <c r="D9" t="str">
        <f t="shared" si="0"/>
        <v/>
      </c>
      <c r="E9">
        <v>2140.4615655150883</v>
      </c>
      <c r="F9">
        <f t="shared" si="6"/>
        <v>2204.5151823787378</v>
      </c>
      <c r="G9" t="str">
        <f t="shared" si="1"/>
        <v/>
      </c>
      <c r="H9">
        <v>930.81943809447785</v>
      </c>
      <c r="I9">
        <f t="shared" si="7"/>
        <v>1061.8022356154618</v>
      </c>
      <c r="J9" t="str">
        <f t="shared" si="2"/>
        <v/>
      </c>
      <c r="K9">
        <v>1259.361013218225</v>
      </c>
      <c r="L9">
        <f t="shared" si="8"/>
        <v>1524.3664006441434</v>
      </c>
      <c r="M9" t="str">
        <f t="shared" si="3"/>
        <v/>
      </c>
      <c r="N9">
        <v>1977.1386220459001</v>
      </c>
      <c r="O9">
        <f t="shared" si="9"/>
        <v>2019.2737356483792</v>
      </c>
      <c r="P9" t="str">
        <f t="shared" si="4"/>
        <v/>
      </c>
      <c r="Q9">
        <v>1355.6876077866029</v>
      </c>
      <c r="R9">
        <f t="shared" si="10"/>
        <v>1536.7526262822519</v>
      </c>
      <c r="S9" t="str">
        <f t="shared" si="5"/>
        <v/>
      </c>
    </row>
    <row r="10" spans="1:19" x14ac:dyDescent="0.35">
      <c r="A10" s="8" t="s">
        <v>74</v>
      </c>
      <c r="B10">
        <v>248.2160615079365</v>
      </c>
      <c r="C10">
        <f t="shared" si="11"/>
        <v>253.5872794312169</v>
      </c>
      <c r="D10" t="str">
        <f t="shared" si="0"/>
        <v/>
      </c>
      <c r="E10">
        <v>2082.516463621414</v>
      </c>
      <c r="F10">
        <f t="shared" si="6"/>
        <v>2160.2544172766457</v>
      </c>
      <c r="G10" t="str">
        <f t="shared" si="1"/>
        <v/>
      </c>
      <c r="H10">
        <v>910.33239368578199</v>
      </c>
      <c r="I10">
        <f t="shared" si="7"/>
        <v>985.17366547883887</v>
      </c>
      <c r="J10" t="str">
        <f t="shared" si="2"/>
        <v/>
      </c>
      <c r="K10">
        <v>1315.9459361147265</v>
      </c>
      <c r="L10">
        <f t="shared" si="8"/>
        <v>1417.2140596445561</v>
      </c>
      <c r="M10" t="str">
        <f t="shared" si="3"/>
        <v/>
      </c>
      <c r="N10">
        <v>1970.4099150269424</v>
      </c>
      <c r="O10">
        <f t="shared" si="9"/>
        <v>1996.637481171633</v>
      </c>
      <c r="P10" t="str">
        <f t="shared" si="4"/>
        <v/>
      </c>
      <c r="Q10">
        <v>1371.20040683093</v>
      </c>
      <c r="R10">
        <f t="shared" si="10"/>
        <v>1442.3853429161588</v>
      </c>
      <c r="S10" t="str">
        <f t="shared" si="5"/>
        <v/>
      </c>
    </row>
    <row r="11" spans="1:19" x14ac:dyDescent="0.35">
      <c r="A11" s="8" t="s">
        <v>72</v>
      </c>
      <c r="B11">
        <v>247.77539484126979</v>
      </c>
      <c r="C11">
        <f t="shared" si="11"/>
        <v>248.23463326719573</v>
      </c>
      <c r="D11" t="str">
        <f t="shared" si="0"/>
        <v/>
      </c>
      <c r="E11">
        <v>2081.3257969547467</v>
      </c>
      <c r="F11">
        <f t="shared" si="6"/>
        <v>2101.4346086970831</v>
      </c>
      <c r="G11" t="str">
        <f t="shared" si="1"/>
        <v/>
      </c>
      <c r="H11">
        <v>911.14172701911536</v>
      </c>
      <c r="I11">
        <f t="shared" si="7"/>
        <v>917.43118626645844</v>
      </c>
      <c r="J11" t="str">
        <f t="shared" si="2"/>
        <v/>
      </c>
      <c r="K11">
        <v>1317.5886027813929</v>
      </c>
      <c r="L11">
        <f t="shared" si="8"/>
        <v>1297.6318507047815</v>
      </c>
      <c r="M11" t="str">
        <f t="shared" si="3"/>
        <v>SPIKE</v>
      </c>
      <c r="N11">
        <v>1966.8859150269434</v>
      </c>
      <c r="O11">
        <f t="shared" si="9"/>
        <v>1971.4781506999286</v>
      </c>
      <c r="P11" t="str">
        <f t="shared" si="4"/>
        <v/>
      </c>
      <c r="Q11">
        <v>1372.3430734975962</v>
      </c>
      <c r="R11">
        <f t="shared" si="10"/>
        <v>1366.4103627050429</v>
      </c>
      <c r="S11" t="str">
        <f t="shared" si="5"/>
        <v>SPIKE</v>
      </c>
    </row>
    <row r="12" spans="1:19" x14ac:dyDescent="0.35">
      <c r="A12" s="8" t="s">
        <v>70</v>
      </c>
      <c r="B12">
        <v>242.51328107756851</v>
      </c>
      <c r="C12">
        <f t="shared" si="11"/>
        <v>246.16824580892492</v>
      </c>
      <c r="D12" t="str">
        <f t="shared" si="0"/>
        <v/>
      </c>
      <c r="E12">
        <v>1730.8237707413964</v>
      </c>
      <c r="F12">
        <f t="shared" si="6"/>
        <v>1964.8886771058524</v>
      </c>
      <c r="G12" t="str">
        <f t="shared" si="1"/>
        <v/>
      </c>
      <c r="H12">
        <v>818.65957310498163</v>
      </c>
      <c r="I12">
        <f t="shared" si="7"/>
        <v>880.044564603293</v>
      </c>
      <c r="J12" t="str">
        <f t="shared" si="2"/>
        <v/>
      </c>
      <c r="K12">
        <v>1241.7429714053198</v>
      </c>
      <c r="L12">
        <f t="shared" si="8"/>
        <v>1291.7591701004797</v>
      </c>
      <c r="M12" t="str">
        <f t="shared" si="3"/>
        <v/>
      </c>
      <c r="N12">
        <v>1942.9822855879038</v>
      </c>
      <c r="O12">
        <f t="shared" si="9"/>
        <v>1960.0927052139298</v>
      </c>
      <c r="P12" t="str">
        <f t="shared" si="4"/>
        <v/>
      </c>
      <c r="Q12">
        <v>1309.1023644724501</v>
      </c>
      <c r="R12">
        <f t="shared" si="10"/>
        <v>1350.8819482669921</v>
      </c>
      <c r="S12" t="str">
        <f t="shared" si="5"/>
        <v/>
      </c>
    </row>
    <row r="13" spans="1:19" x14ac:dyDescent="0.35">
      <c r="A13" s="8" t="s">
        <v>56</v>
      </c>
      <c r="B13">
        <v>241.73817897308334</v>
      </c>
      <c r="C13">
        <f t="shared" si="11"/>
        <v>244.00895163064055</v>
      </c>
      <c r="D13" t="str">
        <f t="shared" si="0"/>
        <v/>
      </c>
      <c r="E13">
        <v>1697.503033545695</v>
      </c>
      <c r="F13">
        <f t="shared" si="6"/>
        <v>1836.5508670806128</v>
      </c>
      <c r="G13" t="str">
        <f t="shared" si="1"/>
        <v/>
      </c>
      <c r="H13">
        <v>808.33333333333337</v>
      </c>
      <c r="I13">
        <f t="shared" si="7"/>
        <v>846.04487781914349</v>
      </c>
      <c r="J13" t="str">
        <f t="shared" si="2"/>
        <v/>
      </c>
      <c r="K13">
        <v>1162.4132606842134</v>
      </c>
      <c r="L13">
        <f t="shared" si="8"/>
        <v>1240.5816116236419</v>
      </c>
      <c r="M13" t="str">
        <f t="shared" si="3"/>
        <v/>
      </c>
      <c r="N13">
        <v>1939.3646643076165</v>
      </c>
      <c r="O13">
        <f t="shared" si="9"/>
        <v>1949.744288307488</v>
      </c>
      <c r="P13" t="str">
        <f t="shared" si="4"/>
        <v/>
      </c>
      <c r="Q13">
        <v>1188.7462368461333</v>
      </c>
      <c r="R13">
        <f t="shared" si="10"/>
        <v>1290.0638916053933</v>
      </c>
      <c r="S13" t="str">
        <f t="shared" si="5"/>
        <v/>
      </c>
    </row>
  </sheetData>
  <conditionalFormatting sqref="D1:D1048576">
    <cfRule type="cellIs" dxfId="5" priority="6" operator="equal">
      <formula>"SPIKE"</formula>
    </cfRule>
  </conditionalFormatting>
  <conditionalFormatting sqref="G1:G1048576">
    <cfRule type="cellIs" dxfId="4" priority="5" operator="equal">
      <formula>"SPIKE"</formula>
    </cfRule>
  </conditionalFormatting>
  <conditionalFormatting sqref="J1:J1048576">
    <cfRule type="cellIs" dxfId="3" priority="4" operator="equal">
      <formula>"SPIKE"</formula>
    </cfRule>
  </conditionalFormatting>
  <conditionalFormatting sqref="M1:M1048576">
    <cfRule type="cellIs" dxfId="2" priority="3" operator="equal">
      <formula>"SPIKE"</formula>
    </cfRule>
  </conditionalFormatting>
  <conditionalFormatting sqref="P1:P1048576">
    <cfRule type="cellIs" dxfId="1" priority="2" operator="equal">
      <formula>"SPIKE"</formula>
    </cfRule>
  </conditionalFormatting>
  <conditionalFormatting sqref="S1:S1048576">
    <cfRule type="cellIs" dxfId="0" priority="1" operator="equal">
      <formula>"SPIKE"</formula>
    </cfRule>
  </conditionalFormatting>
  <pageMargins left="0.7" right="0.7" top="0.75" bottom="0.75" header="0.3" footer="0.3"/>
  <ignoredErrors>
    <ignoredError sqref="I4:I6"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DEFA-6A2B-442B-A0C4-0E740B689A42}">
  <sheetPr>
    <tabColor theme="5" tint="-0.249977111117893"/>
  </sheetPr>
  <dimension ref="A1:Q57"/>
  <sheetViews>
    <sheetView showGridLines="0" zoomScale="95" zoomScaleNormal="95" workbookViewId="0">
      <selection activeCell="A38" sqref="A38"/>
    </sheetView>
  </sheetViews>
  <sheetFormatPr defaultRowHeight="14.5" x14ac:dyDescent="0.35"/>
  <cols>
    <col min="1" max="1" width="21.453125" bestFit="1" customWidth="1"/>
    <col min="2" max="2" width="17" style="3" bestFit="1" customWidth="1"/>
    <col min="3" max="9" width="10.7265625" style="3" bestFit="1" customWidth="1"/>
    <col min="10" max="10" width="11.26953125" style="3" bestFit="1" customWidth="1"/>
    <col min="11" max="13" width="10.7265625" style="3" bestFit="1" customWidth="1"/>
    <col min="14" max="14" width="11.6328125" style="3" bestFit="1" customWidth="1"/>
    <col min="15" max="15" width="36.54296875" bestFit="1" customWidth="1"/>
    <col min="16" max="16" width="20.08984375" style="7" bestFit="1" customWidth="1"/>
    <col min="17" max="17" width="18.7265625" style="7" bestFit="1" customWidth="1"/>
  </cols>
  <sheetData>
    <row r="1" spans="1:17" ht="33.5" customHeight="1" x14ac:dyDescent="0.55000000000000004">
      <c r="A1" s="11" t="s">
        <v>80</v>
      </c>
      <c r="B1" s="11"/>
      <c r="C1" s="11"/>
      <c r="D1" s="11"/>
      <c r="E1" s="11"/>
      <c r="F1" s="11"/>
      <c r="G1" s="11"/>
      <c r="H1" s="11"/>
      <c r="I1" s="11"/>
      <c r="J1" s="11"/>
      <c r="K1" s="11"/>
      <c r="L1" s="11"/>
      <c r="M1" s="11"/>
      <c r="N1" s="11"/>
      <c r="O1" s="6">
        <f ca="1">TODAY()</f>
        <v>46148</v>
      </c>
    </row>
    <row r="2" spans="1:17" ht="18.5" customHeight="1" x14ac:dyDescent="0.4">
      <c r="A2" s="12" t="s">
        <v>81</v>
      </c>
      <c r="B2" s="12"/>
      <c r="C2" s="12"/>
      <c r="D2" s="12"/>
      <c r="E2" s="12"/>
      <c r="F2" s="12"/>
      <c r="G2" s="12"/>
      <c r="H2" s="12"/>
      <c r="I2" s="12"/>
      <c r="J2" s="12"/>
      <c r="K2" s="12"/>
      <c r="L2" s="12"/>
      <c r="M2" s="12"/>
      <c r="N2" s="12"/>
      <c r="P2"/>
      <c r="Q2"/>
    </row>
    <row r="3" spans="1:17" x14ac:dyDescent="0.35">
      <c r="A3" s="13" t="s">
        <v>82</v>
      </c>
      <c r="B3" s="13"/>
      <c r="C3" s="13"/>
      <c r="D3" s="13"/>
      <c r="E3" s="13"/>
      <c r="F3" s="13"/>
      <c r="G3" s="13"/>
      <c r="H3" s="13"/>
      <c r="I3" s="13"/>
      <c r="J3" s="13"/>
      <c r="K3" s="13"/>
      <c r="L3" s="13"/>
      <c r="M3" s="13"/>
      <c r="N3" s="13"/>
      <c r="P3"/>
      <c r="Q3"/>
    </row>
    <row r="4" spans="1:17" x14ac:dyDescent="0.35">
      <c r="A4" s="5"/>
      <c r="B4" s="5"/>
      <c r="C4" s="5"/>
      <c r="D4" s="5"/>
      <c r="E4" s="5"/>
      <c r="F4" s="5"/>
      <c r="G4" s="5"/>
      <c r="H4" s="5"/>
      <c r="I4" s="5"/>
      <c r="J4" s="5"/>
      <c r="K4" s="5"/>
      <c r="L4" s="5"/>
      <c r="M4" s="5"/>
      <c r="N4" s="5"/>
      <c r="P4"/>
      <c r="Q4"/>
    </row>
    <row r="5" spans="1:17" x14ac:dyDescent="0.35">
      <c r="A5" s="5"/>
      <c r="B5" s="5"/>
      <c r="C5" s="5"/>
      <c r="D5" s="5"/>
      <c r="E5" s="5"/>
      <c r="F5" s="5"/>
      <c r="G5" s="5"/>
      <c r="H5" s="5"/>
      <c r="I5" s="5"/>
      <c r="J5" s="5"/>
      <c r="K5" s="5"/>
      <c r="L5" s="5"/>
      <c r="M5" s="5"/>
      <c r="N5" s="5"/>
      <c r="P5"/>
      <c r="Q5"/>
    </row>
    <row r="6" spans="1:17" x14ac:dyDescent="0.35">
      <c r="A6" s="5"/>
      <c r="B6" s="5"/>
      <c r="C6" s="5"/>
      <c r="D6" s="5"/>
      <c r="E6" s="5"/>
      <c r="F6" s="5"/>
      <c r="G6" s="5"/>
      <c r="H6" s="5"/>
      <c r="I6" s="5"/>
      <c r="J6" s="5"/>
      <c r="K6" s="5"/>
      <c r="L6" s="5"/>
      <c r="M6" s="5"/>
      <c r="N6" s="5"/>
      <c r="P6"/>
      <c r="Q6"/>
    </row>
    <row r="7" spans="1:17" x14ac:dyDescent="0.35">
      <c r="A7" s="5"/>
      <c r="B7" s="5"/>
      <c r="C7" s="5"/>
      <c r="D7" s="5"/>
      <c r="E7" s="5"/>
      <c r="F7" s="5"/>
      <c r="G7" s="5"/>
      <c r="H7" s="5"/>
      <c r="I7" s="5"/>
      <c r="J7" s="5"/>
      <c r="K7" s="5"/>
      <c r="L7" s="5"/>
      <c r="M7" s="5"/>
      <c r="N7" s="5"/>
      <c r="P7"/>
      <c r="Q7"/>
    </row>
    <row r="8" spans="1:17" x14ac:dyDescent="0.35">
      <c r="A8" s="5"/>
      <c r="B8" s="5"/>
      <c r="C8" s="5"/>
      <c r="D8" s="5"/>
      <c r="E8" s="5"/>
      <c r="F8" s="5"/>
      <c r="G8" s="5"/>
      <c r="H8" s="5"/>
      <c r="I8" s="5"/>
      <c r="J8" s="5"/>
      <c r="K8" s="5"/>
      <c r="L8" s="5"/>
      <c r="M8" s="5"/>
      <c r="N8" s="5"/>
      <c r="P8"/>
      <c r="Q8"/>
    </row>
    <row r="9" spans="1:17" x14ac:dyDescent="0.35">
      <c r="A9" s="5"/>
      <c r="B9" s="5"/>
      <c r="C9" s="5"/>
      <c r="D9" s="5"/>
      <c r="E9" s="5"/>
      <c r="F9" s="5"/>
      <c r="G9" s="5"/>
      <c r="H9" s="5"/>
      <c r="I9" s="5"/>
      <c r="J9" s="5"/>
      <c r="K9" s="5"/>
      <c r="L9" s="5"/>
      <c r="M9" s="5"/>
      <c r="N9" s="5"/>
      <c r="P9"/>
      <c r="Q9"/>
    </row>
    <row r="10" spans="1:17" x14ac:dyDescent="0.35">
      <c r="A10" s="5"/>
      <c r="B10" s="5"/>
      <c r="C10" s="5"/>
      <c r="D10" s="5"/>
      <c r="E10" s="5"/>
      <c r="F10" s="5"/>
      <c r="G10" s="5"/>
      <c r="H10" s="5"/>
      <c r="I10" s="5"/>
      <c r="J10" s="5"/>
      <c r="K10" s="5"/>
      <c r="L10" s="5"/>
      <c r="M10" s="5"/>
      <c r="N10" s="5"/>
      <c r="P10"/>
      <c r="Q10"/>
    </row>
    <row r="11" spans="1:17" x14ac:dyDescent="0.35">
      <c r="A11" s="5"/>
      <c r="B11" s="5"/>
      <c r="C11" s="5"/>
      <c r="D11" s="5"/>
      <c r="E11" s="5"/>
      <c r="F11" s="5"/>
      <c r="G11" s="5"/>
      <c r="H11" s="5"/>
      <c r="I11" s="5"/>
      <c r="J11" s="5"/>
      <c r="K11" s="5"/>
      <c r="L11" s="5"/>
      <c r="M11" s="5"/>
      <c r="N11" s="5"/>
      <c r="P11"/>
      <c r="Q11"/>
    </row>
    <row r="12" spans="1:17" x14ac:dyDescent="0.35">
      <c r="A12" s="1" t="s">
        <v>78</v>
      </c>
      <c r="B12" s="4" t="s">
        <v>79</v>
      </c>
      <c r="N12"/>
      <c r="P12"/>
      <c r="Q12"/>
    </row>
    <row r="13" spans="1:17" x14ac:dyDescent="0.35">
      <c r="A13" s="1" t="s">
        <v>75</v>
      </c>
      <c r="B13" s="3" t="s">
        <v>60</v>
      </c>
      <c r="C13" s="3" t="s">
        <v>58</v>
      </c>
      <c r="D13" s="3" t="s">
        <v>66</v>
      </c>
      <c r="E13" s="3" t="s">
        <v>11</v>
      </c>
      <c r="F13" s="3" t="s">
        <v>68</v>
      </c>
      <c r="G13" s="3" t="s">
        <v>64</v>
      </c>
      <c r="H13" s="3" t="s">
        <v>62</v>
      </c>
      <c r="I13" s="3" t="s">
        <v>54</v>
      </c>
      <c r="J13" s="3" t="s">
        <v>74</v>
      </c>
      <c r="K13" s="3" t="s">
        <v>72</v>
      </c>
      <c r="L13" s="3" t="s">
        <v>70</v>
      </c>
      <c r="M13" s="3" t="s">
        <v>56</v>
      </c>
      <c r="N13"/>
      <c r="P13"/>
      <c r="Q13"/>
    </row>
    <row r="14" spans="1:17" x14ac:dyDescent="0.35">
      <c r="A14" s="2" t="s">
        <v>10</v>
      </c>
      <c r="B14" s="3">
        <v>250.83333333333334</v>
      </c>
      <c r="C14" s="3">
        <v>257.5</v>
      </c>
      <c r="D14" s="3">
        <v>268.66666666666669</v>
      </c>
      <c r="E14" s="3">
        <v>258.16666666666669</v>
      </c>
      <c r="F14" s="3">
        <v>269.53956349206351</v>
      </c>
      <c r="G14" s="3">
        <v>267.53311825396827</v>
      </c>
      <c r="H14" s="3">
        <v>263.83333333333331</v>
      </c>
      <c r="I14" s="3">
        <v>248.71244345238097</v>
      </c>
      <c r="J14" s="3">
        <v>248.2160615079365</v>
      </c>
      <c r="K14" s="3">
        <v>247.77539484126979</v>
      </c>
      <c r="L14" s="3">
        <v>242.51328107756851</v>
      </c>
      <c r="M14" s="3">
        <v>241.73817897308334</v>
      </c>
      <c r="N14"/>
      <c r="P14"/>
      <c r="Q14"/>
    </row>
    <row r="15" spans="1:17" x14ac:dyDescent="0.35">
      <c r="A15" s="2" t="s">
        <v>13</v>
      </c>
      <c r="B15" s="3">
        <v>2382.2157781249998</v>
      </c>
      <c r="C15" s="3">
        <v>2327.9352488564814</v>
      </c>
      <c r="D15" s="3">
        <v>2466.6377561411578</v>
      </c>
      <c r="E15" s="3">
        <v>2336.6666666666665</v>
      </c>
      <c r="F15" s="3">
        <v>2275.6142204673711</v>
      </c>
      <c r="G15" s="3">
        <v>2215.29875892769</v>
      </c>
      <c r="H15" s="3">
        <v>2257.7852226934347</v>
      </c>
      <c r="I15" s="3">
        <v>2140.4615655150883</v>
      </c>
      <c r="J15" s="3">
        <v>2082.516463621414</v>
      </c>
      <c r="K15" s="3">
        <v>2081.3257969547467</v>
      </c>
      <c r="L15" s="3">
        <v>1730.8237707413964</v>
      </c>
      <c r="M15" s="3">
        <v>1697.503033545695</v>
      </c>
      <c r="N15"/>
      <c r="P15"/>
      <c r="Q15"/>
    </row>
    <row r="16" spans="1:17" x14ac:dyDescent="0.35">
      <c r="A16" s="2" t="s">
        <v>14</v>
      </c>
      <c r="B16" s="3">
        <v>1977.2817460317463</v>
      </c>
      <c r="C16" s="3">
        <v>1997.453963424603</v>
      </c>
      <c r="D16" s="3">
        <v>2040.671434825972</v>
      </c>
      <c r="E16" s="3">
        <v>2030</v>
      </c>
      <c r="F16" s="3">
        <v>1827.4887843403669</v>
      </c>
      <c r="G16" s="3">
        <v>1841.3393360604139</v>
      </c>
      <c r="H16" s="3">
        <v>1849.1939202978347</v>
      </c>
      <c r="I16" s="3">
        <v>1727.5992362058162</v>
      </c>
      <c r="J16" s="3">
        <v>1701.0678521700329</v>
      </c>
      <c r="K16" s="3">
        <v>1699.7105188367004</v>
      </c>
      <c r="L16" s="3">
        <v>1521.5791008095766</v>
      </c>
      <c r="M16" s="3">
        <v>1509.66659440691</v>
      </c>
      <c r="N16"/>
      <c r="P16"/>
      <c r="Q16"/>
    </row>
    <row r="17" spans="1:17" x14ac:dyDescent="0.35">
      <c r="A17" s="2" t="s">
        <v>35</v>
      </c>
      <c r="B17" s="3">
        <v>1143.2870370277783</v>
      </c>
      <c r="C17" s="3">
        <v>1139.4079294999999</v>
      </c>
      <c r="D17" s="3">
        <v>1161.5079365497218</v>
      </c>
      <c r="E17" s="3">
        <v>1199.1666666666667</v>
      </c>
      <c r="F17" s="3">
        <v>1565.2757580535215</v>
      </c>
      <c r="G17" s="3">
        <v>1637.4029591134886</v>
      </c>
      <c r="H17" s="3">
        <v>1676.3352296007167</v>
      </c>
      <c r="I17" s="3">
        <v>1259.361013218225</v>
      </c>
      <c r="J17" s="3">
        <v>1315.9459361147265</v>
      </c>
      <c r="K17" s="3">
        <v>1317.5886027813929</v>
      </c>
      <c r="L17" s="3">
        <v>1241.7429714053198</v>
      </c>
      <c r="M17" s="3">
        <v>1162.4132606842134</v>
      </c>
      <c r="N17"/>
      <c r="P17"/>
      <c r="Q17"/>
    </row>
    <row r="18" spans="1:17" x14ac:dyDescent="0.35">
      <c r="A18" s="2" t="s">
        <v>39</v>
      </c>
      <c r="B18" s="3">
        <v>2080.8451451611113</v>
      </c>
      <c r="C18" s="3">
        <v>2000.0973782777776</v>
      </c>
      <c r="D18" s="3">
        <v>2126.6578113832406</v>
      </c>
      <c r="E18" s="3">
        <v>2083.3333333333335</v>
      </c>
      <c r="F18" s="3">
        <v>2034.4640988821091</v>
      </c>
      <c r="G18" s="3">
        <v>2038.318678457181</v>
      </c>
      <c r="H18" s="3">
        <v>2042.3639064420565</v>
      </c>
      <c r="I18" s="3">
        <v>1977.1386220459001</v>
      </c>
      <c r="J18" s="3">
        <v>1970.4099150269424</v>
      </c>
      <c r="K18" s="3">
        <v>1966.8859150269434</v>
      </c>
      <c r="L18" s="3">
        <v>1942.9822855879038</v>
      </c>
      <c r="M18" s="3">
        <v>1939.3646643076165</v>
      </c>
      <c r="N18"/>
      <c r="P18"/>
      <c r="Q18"/>
    </row>
    <row r="19" spans="1:17" x14ac:dyDescent="0.35">
      <c r="A19" s="2" t="s">
        <v>48</v>
      </c>
      <c r="B19" s="3">
        <v>1316.0256409861115</v>
      </c>
      <c r="C19" s="3">
        <v>1351.2950938055551</v>
      </c>
      <c r="D19" s="3">
        <v>1387.69930072593</v>
      </c>
      <c r="E19" s="3">
        <v>1395</v>
      </c>
      <c r="F19" s="3">
        <v>1578.7045342650524</v>
      </c>
      <c r="G19" s="3">
        <v>1654.3022569292091</v>
      </c>
      <c r="H19" s="3">
        <v>1600.2680141309436</v>
      </c>
      <c r="I19" s="3">
        <v>1355.6876077866029</v>
      </c>
      <c r="J19" s="3">
        <v>1371.20040683093</v>
      </c>
      <c r="K19" s="3">
        <v>1372.3430734975962</v>
      </c>
      <c r="L19" s="3">
        <v>1309.1023644724501</v>
      </c>
      <c r="M19" s="3">
        <v>1188.7462368461333</v>
      </c>
      <c r="N19"/>
      <c r="P19"/>
      <c r="Q19"/>
    </row>
    <row r="20" spans="1:17" x14ac:dyDescent="0.35">
      <c r="B20"/>
      <c r="C20"/>
      <c r="D20"/>
      <c r="E20"/>
      <c r="F20"/>
      <c r="G20"/>
      <c r="H20"/>
      <c r="I20"/>
      <c r="J20"/>
      <c r="K20"/>
      <c r="L20"/>
      <c r="M20"/>
      <c r="N20"/>
      <c r="P20"/>
      <c r="Q20"/>
    </row>
    <row r="21" spans="1:17" x14ac:dyDescent="0.35">
      <c r="B21"/>
      <c r="C21"/>
      <c r="D21"/>
      <c r="E21"/>
      <c r="F21"/>
      <c r="G21"/>
      <c r="H21"/>
      <c r="I21"/>
      <c r="J21"/>
      <c r="K21"/>
      <c r="L21"/>
      <c r="M21"/>
      <c r="N21"/>
      <c r="P21"/>
      <c r="Q21"/>
    </row>
    <row r="22" spans="1:17" x14ac:dyDescent="0.35">
      <c r="B22"/>
      <c r="C22"/>
      <c r="D22"/>
      <c r="E22"/>
      <c r="F22"/>
      <c r="G22"/>
      <c r="H22"/>
      <c r="I22"/>
      <c r="J22"/>
      <c r="K22"/>
      <c r="L22"/>
      <c r="M22"/>
      <c r="N22"/>
      <c r="P22"/>
      <c r="Q22"/>
    </row>
    <row r="23" spans="1:17" x14ac:dyDescent="0.35">
      <c r="B23"/>
      <c r="C23"/>
      <c r="D23"/>
      <c r="E23"/>
      <c r="F23"/>
      <c r="G23"/>
      <c r="H23"/>
      <c r="I23"/>
      <c r="J23"/>
      <c r="K23"/>
      <c r="L23"/>
      <c r="M23"/>
      <c r="N23"/>
      <c r="P23"/>
      <c r="Q23"/>
    </row>
    <row r="24" spans="1:17" x14ac:dyDescent="0.35">
      <c r="B24"/>
      <c r="C24"/>
      <c r="D24"/>
      <c r="E24"/>
      <c r="F24"/>
      <c r="G24"/>
      <c r="H24"/>
      <c r="I24"/>
      <c r="J24"/>
      <c r="K24"/>
      <c r="L24"/>
      <c r="M24"/>
      <c r="N24"/>
      <c r="P24"/>
      <c r="Q24"/>
    </row>
    <row r="25" spans="1:17" x14ac:dyDescent="0.35">
      <c r="B25"/>
      <c r="C25"/>
      <c r="D25"/>
      <c r="E25"/>
      <c r="F25"/>
      <c r="G25"/>
      <c r="H25"/>
      <c r="I25"/>
      <c r="J25"/>
      <c r="K25"/>
      <c r="L25"/>
      <c r="M25"/>
      <c r="N25"/>
      <c r="P25"/>
      <c r="Q25"/>
    </row>
    <row r="26" spans="1:17" x14ac:dyDescent="0.35">
      <c r="B26"/>
      <c r="C26"/>
      <c r="D26"/>
      <c r="E26"/>
      <c r="F26"/>
      <c r="G26"/>
      <c r="H26"/>
      <c r="I26"/>
      <c r="J26"/>
      <c r="K26"/>
      <c r="L26"/>
      <c r="M26"/>
      <c r="N26"/>
      <c r="P26"/>
      <c r="Q26"/>
    </row>
    <row r="27" spans="1:17" x14ac:dyDescent="0.35">
      <c r="B27"/>
      <c r="C27"/>
      <c r="D27"/>
      <c r="E27"/>
      <c r="F27"/>
      <c r="G27"/>
      <c r="H27"/>
      <c r="I27"/>
      <c r="J27"/>
      <c r="K27"/>
      <c r="L27"/>
      <c r="M27"/>
      <c r="N27"/>
      <c r="P27"/>
      <c r="Q27"/>
    </row>
    <row r="28" spans="1:17" x14ac:dyDescent="0.35">
      <c r="B28"/>
      <c r="C28"/>
      <c r="D28"/>
      <c r="E28"/>
      <c r="F28"/>
      <c r="G28"/>
      <c r="H28"/>
      <c r="I28"/>
      <c r="J28"/>
      <c r="K28"/>
      <c r="L28"/>
      <c r="M28"/>
      <c r="N28"/>
      <c r="P28"/>
      <c r="Q28"/>
    </row>
    <row r="29" spans="1:17" x14ac:dyDescent="0.35">
      <c r="B29"/>
      <c r="C29"/>
      <c r="D29"/>
      <c r="E29"/>
      <c r="F29"/>
      <c r="G29"/>
      <c r="H29"/>
      <c r="I29"/>
      <c r="J29"/>
      <c r="K29"/>
      <c r="L29"/>
      <c r="M29"/>
      <c r="N29"/>
      <c r="P29"/>
      <c r="Q29"/>
    </row>
    <row r="30" spans="1:17" x14ac:dyDescent="0.35">
      <c r="B30"/>
      <c r="C30"/>
      <c r="D30"/>
      <c r="E30"/>
      <c r="F30"/>
      <c r="G30"/>
      <c r="H30"/>
      <c r="I30"/>
      <c r="J30"/>
      <c r="K30"/>
      <c r="L30"/>
      <c r="M30"/>
      <c r="N30"/>
      <c r="P30"/>
      <c r="Q30"/>
    </row>
    <row r="31" spans="1:17" x14ac:dyDescent="0.35">
      <c r="B31"/>
      <c r="C31"/>
      <c r="D31"/>
      <c r="E31"/>
      <c r="F31"/>
      <c r="G31"/>
      <c r="H31"/>
      <c r="I31"/>
      <c r="J31"/>
      <c r="K31"/>
      <c r="L31"/>
      <c r="M31"/>
      <c r="N31"/>
      <c r="P31"/>
      <c r="Q31"/>
    </row>
    <row r="32" spans="1:17" x14ac:dyDescent="0.35">
      <c r="B32"/>
      <c r="C32"/>
      <c r="D32"/>
      <c r="E32"/>
      <c r="F32"/>
      <c r="G32"/>
      <c r="H32"/>
      <c r="I32"/>
      <c r="J32"/>
      <c r="K32"/>
      <c r="L32"/>
      <c r="M32"/>
      <c r="N32"/>
      <c r="P32"/>
      <c r="Q32"/>
    </row>
    <row r="33" spans="2:17" x14ac:dyDescent="0.35">
      <c r="B33"/>
      <c r="C33"/>
      <c r="D33"/>
      <c r="E33"/>
      <c r="F33"/>
      <c r="G33"/>
      <c r="H33"/>
      <c r="I33"/>
      <c r="J33"/>
      <c r="K33"/>
      <c r="L33"/>
      <c r="M33"/>
      <c r="N33"/>
      <c r="P33"/>
      <c r="Q33"/>
    </row>
    <row r="34" spans="2:17" x14ac:dyDescent="0.35">
      <c r="B34"/>
      <c r="C34"/>
      <c r="D34"/>
      <c r="E34"/>
      <c r="F34"/>
      <c r="G34"/>
      <c r="H34"/>
      <c r="I34"/>
      <c r="J34"/>
      <c r="K34"/>
      <c r="L34"/>
      <c r="M34"/>
      <c r="N34"/>
      <c r="P34"/>
      <c r="Q34"/>
    </row>
    <row r="35" spans="2:17" x14ac:dyDescent="0.35">
      <c r="B35"/>
      <c r="C35"/>
      <c r="D35"/>
      <c r="E35"/>
      <c r="F35"/>
      <c r="G35"/>
      <c r="H35"/>
      <c r="I35"/>
      <c r="J35"/>
      <c r="K35"/>
      <c r="L35"/>
      <c r="M35"/>
      <c r="N35"/>
      <c r="P35"/>
      <c r="Q35"/>
    </row>
    <row r="36" spans="2:17" x14ac:dyDescent="0.35">
      <c r="B36"/>
      <c r="C36"/>
      <c r="D36"/>
      <c r="E36"/>
      <c r="F36"/>
      <c r="G36"/>
      <c r="H36"/>
      <c r="I36"/>
      <c r="J36"/>
      <c r="K36"/>
      <c r="L36"/>
      <c r="M36"/>
      <c r="N36"/>
      <c r="P36"/>
      <c r="Q36"/>
    </row>
    <row r="37" spans="2:17" x14ac:dyDescent="0.35">
      <c r="B37"/>
      <c r="C37"/>
      <c r="D37"/>
      <c r="E37"/>
      <c r="F37"/>
      <c r="G37"/>
      <c r="H37"/>
      <c r="I37"/>
      <c r="J37"/>
      <c r="K37"/>
      <c r="L37"/>
      <c r="M37"/>
      <c r="N37"/>
      <c r="P37"/>
      <c r="Q37"/>
    </row>
    <row r="38" spans="2:17" x14ac:dyDescent="0.35">
      <c r="B38"/>
      <c r="C38"/>
      <c r="D38"/>
      <c r="E38"/>
      <c r="F38"/>
      <c r="G38"/>
      <c r="H38"/>
      <c r="I38"/>
      <c r="J38"/>
      <c r="K38"/>
      <c r="L38"/>
      <c r="M38"/>
      <c r="N38"/>
      <c r="P38"/>
      <c r="Q38"/>
    </row>
    <row r="39" spans="2:17" x14ac:dyDescent="0.35">
      <c r="B39"/>
      <c r="C39"/>
      <c r="D39"/>
      <c r="E39"/>
      <c r="F39"/>
      <c r="G39"/>
      <c r="H39"/>
      <c r="I39"/>
      <c r="J39"/>
      <c r="K39"/>
      <c r="L39"/>
      <c r="M39"/>
      <c r="N39"/>
      <c r="P39"/>
      <c r="Q39"/>
    </row>
    <row r="40" spans="2:17" x14ac:dyDescent="0.35">
      <c r="B40"/>
      <c r="C40"/>
      <c r="D40"/>
      <c r="E40"/>
      <c r="F40"/>
      <c r="G40"/>
      <c r="H40"/>
      <c r="I40"/>
      <c r="J40"/>
      <c r="K40"/>
      <c r="L40"/>
      <c r="M40"/>
      <c r="N40"/>
      <c r="P40"/>
      <c r="Q40"/>
    </row>
    <row r="41" spans="2:17" x14ac:dyDescent="0.35">
      <c r="B41"/>
      <c r="C41"/>
      <c r="D41"/>
      <c r="E41"/>
      <c r="F41"/>
      <c r="G41"/>
      <c r="H41"/>
      <c r="I41"/>
      <c r="J41"/>
      <c r="K41"/>
      <c r="L41"/>
      <c r="M41"/>
      <c r="N41"/>
      <c r="P41"/>
      <c r="Q41"/>
    </row>
    <row r="42" spans="2:17" x14ac:dyDescent="0.35">
      <c r="B42"/>
      <c r="C42"/>
      <c r="D42"/>
      <c r="E42"/>
      <c r="F42"/>
      <c r="G42"/>
      <c r="H42"/>
      <c r="I42"/>
      <c r="J42"/>
      <c r="K42"/>
      <c r="L42"/>
      <c r="M42"/>
      <c r="N42"/>
      <c r="P42"/>
      <c r="Q42"/>
    </row>
    <row r="43" spans="2:17" x14ac:dyDescent="0.35">
      <c r="B43"/>
      <c r="C43"/>
      <c r="D43"/>
      <c r="E43"/>
      <c r="F43"/>
      <c r="G43"/>
      <c r="H43"/>
      <c r="I43"/>
      <c r="J43"/>
      <c r="K43"/>
      <c r="L43"/>
      <c r="M43"/>
      <c r="N43"/>
      <c r="P43"/>
      <c r="Q43"/>
    </row>
    <row r="44" spans="2:17" x14ac:dyDescent="0.35">
      <c r="B44"/>
      <c r="C44"/>
      <c r="D44"/>
      <c r="E44"/>
      <c r="F44"/>
      <c r="G44"/>
      <c r="H44"/>
      <c r="I44"/>
      <c r="J44"/>
      <c r="K44"/>
      <c r="L44"/>
      <c r="M44"/>
      <c r="N44"/>
      <c r="P44"/>
      <c r="Q44"/>
    </row>
    <row r="45" spans="2:17" x14ac:dyDescent="0.35">
      <c r="B45"/>
      <c r="C45"/>
      <c r="D45"/>
      <c r="E45"/>
      <c r="F45"/>
      <c r="G45"/>
      <c r="H45"/>
      <c r="I45"/>
      <c r="J45"/>
      <c r="K45"/>
      <c r="L45"/>
      <c r="M45"/>
      <c r="N45"/>
      <c r="P45"/>
      <c r="Q45"/>
    </row>
    <row r="46" spans="2:17" x14ac:dyDescent="0.35">
      <c r="B46"/>
      <c r="C46"/>
      <c r="D46"/>
      <c r="E46"/>
      <c r="F46"/>
      <c r="G46"/>
      <c r="H46"/>
      <c r="I46"/>
      <c r="J46"/>
      <c r="K46"/>
      <c r="L46"/>
      <c r="M46"/>
      <c r="N46"/>
      <c r="P46"/>
      <c r="Q46"/>
    </row>
    <row r="47" spans="2:17" x14ac:dyDescent="0.35">
      <c r="B47"/>
      <c r="C47"/>
      <c r="D47"/>
      <c r="E47"/>
      <c r="F47"/>
      <c r="G47"/>
      <c r="H47"/>
      <c r="I47"/>
      <c r="J47"/>
      <c r="K47"/>
      <c r="L47"/>
      <c r="M47"/>
      <c r="N47"/>
    </row>
    <row r="48" spans="2:17" x14ac:dyDescent="0.35">
      <c r="B48"/>
      <c r="C48"/>
      <c r="D48"/>
      <c r="E48"/>
      <c r="F48"/>
      <c r="G48"/>
      <c r="H48"/>
      <c r="I48"/>
      <c r="J48"/>
      <c r="K48"/>
      <c r="L48"/>
      <c r="M48"/>
      <c r="N48"/>
    </row>
    <row r="49" spans="2:14" x14ac:dyDescent="0.35">
      <c r="B49"/>
      <c r="C49"/>
      <c r="D49"/>
      <c r="E49"/>
      <c r="F49"/>
      <c r="G49"/>
      <c r="H49"/>
      <c r="I49"/>
      <c r="J49"/>
      <c r="K49"/>
      <c r="L49"/>
      <c r="M49"/>
      <c r="N49"/>
    </row>
    <row r="50" spans="2:14" x14ac:dyDescent="0.35">
      <c r="B50"/>
      <c r="C50"/>
      <c r="D50"/>
      <c r="E50"/>
      <c r="F50"/>
      <c r="G50"/>
      <c r="H50"/>
      <c r="I50"/>
      <c r="J50"/>
      <c r="K50"/>
      <c r="L50"/>
      <c r="M50"/>
      <c r="N50"/>
    </row>
    <row r="51" spans="2:14" x14ac:dyDescent="0.35">
      <c r="B51"/>
      <c r="C51"/>
      <c r="D51"/>
      <c r="E51"/>
      <c r="F51"/>
      <c r="G51"/>
      <c r="H51"/>
      <c r="I51"/>
      <c r="J51"/>
      <c r="K51"/>
      <c r="L51"/>
      <c r="M51"/>
      <c r="N51"/>
    </row>
    <row r="52" spans="2:14" x14ac:dyDescent="0.35">
      <c r="B52"/>
      <c r="C52"/>
      <c r="D52"/>
      <c r="E52"/>
      <c r="F52"/>
      <c r="G52"/>
      <c r="H52"/>
      <c r="I52"/>
      <c r="J52"/>
      <c r="K52"/>
      <c r="L52"/>
      <c r="M52"/>
      <c r="N52"/>
    </row>
    <row r="53" spans="2:14" x14ac:dyDescent="0.35">
      <c r="B53"/>
      <c r="C53"/>
      <c r="D53"/>
      <c r="E53"/>
      <c r="F53"/>
      <c r="G53"/>
      <c r="H53"/>
      <c r="I53"/>
      <c r="J53"/>
      <c r="K53"/>
      <c r="L53"/>
      <c r="M53"/>
      <c r="N53"/>
    </row>
    <row r="54" spans="2:14" x14ac:dyDescent="0.35">
      <c r="B54"/>
      <c r="C54"/>
      <c r="D54"/>
      <c r="E54"/>
      <c r="F54"/>
      <c r="G54"/>
      <c r="H54"/>
      <c r="I54"/>
      <c r="J54"/>
      <c r="K54"/>
      <c r="L54"/>
      <c r="M54"/>
      <c r="N54"/>
    </row>
    <row r="55" spans="2:14" x14ac:dyDescent="0.35">
      <c r="B55"/>
      <c r="C55"/>
      <c r="D55"/>
      <c r="E55"/>
      <c r="F55"/>
      <c r="G55"/>
      <c r="H55"/>
      <c r="I55"/>
      <c r="J55"/>
      <c r="K55"/>
      <c r="L55"/>
      <c r="M55"/>
      <c r="N55"/>
    </row>
    <row r="56" spans="2:14" x14ac:dyDescent="0.35">
      <c r="B56"/>
      <c r="C56"/>
      <c r="D56"/>
      <c r="E56"/>
      <c r="F56"/>
      <c r="G56"/>
      <c r="H56"/>
      <c r="I56"/>
      <c r="J56"/>
      <c r="K56"/>
      <c r="L56"/>
      <c r="M56"/>
      <c r="N56"/>
    </row>
    <row r="57" spans="2:14" x14ac:dyDescent="0.35">
      <c r="B57"/>
      <c r="C57"/>
      <c r="D57"/>
      <c r="E57"/>
      <c r="F57"/>
      <c r="G57"/>
      <c r="H57"/>
      <c r="I57"/>
      <c r="J57"/>
      <c r="K57"/>
      <c r="L57"/>
      <c r="M57"/>
      <c r="N57"/>
    </row>
  </sheetData>
  <mergeCells count="3">
    <mergeCell ref="A1:N1"/>
    <mergeCell ref="A2:N2"/>
    <mergeCell ref="A3:N3"/>
  </mergeCells>
  <conditionalFormatting sqref="A14:XFD14">
    <cfRule type="colorScale" priority="2">
      <colorScale>
        <cfvo type="min"/>
        <cfvo type="percentile" val="50"/>
        <cfvo type="max"/>
        <color rgb="FFF8696B"/>
        <color rgb="FFFFEB84"/>
        <color rgb="FF63BE7B"/>
      </colorScale>
    </cfRule>
  </conditionalFormatting>
  <conditionalFormatting sqref="A19:XFD19">
    <cfRule type="colorScale" priority="1">
      <colorScale>
        <cfvo type="min"/>
        <cfvo type="percentile" val="50"/>
        <cfvo type="max"/>
        <color rgb="FFF8696B"/>
        <color rgb="FFFFEB84"/>
        <color rgb="FF63BE7B"/>
      </colorScale>
    </cfRule>
  </conditionalFormatting>
  <conditionalFormatting sqref="N14:XFD14 A14">
    <cfRule type="colorScale" priority="4">
      <colorScale>
        <cfvo type="min"/>
        <cfvo type="percentile" val="50"/>
        <cfvo type="max"/>
        <color rgb="FFF8696B"/>
        <color rgb="FFFFEB84"/>
        <color rgb="FF63BE7B"/>
      </colorScale>
    </cfRule>
  </conditionalFormatting>
  <conditionalFormatting sqref="N19:XFD19 A19">
    <cfRule type="colorScale" priority="3">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7EB53-AF17-43E3-87D6-E95B2DA62CD6}">
  <sheetPr>
    <tabColor theme="1" tint="0.499984740745262"/>
  </sheetPr>
  <dimension ref="A1:Y27"/>
  <sheetViews>
    <sheetView showGridLines="0" zoomScale="56" zoomScaleNormal="56" workbookViewId="0">
      <selection activeCell="U7" sqref="U7"/>
    </sheetView>
  </sheetViews>
  <sheetFormatPr defaultRowHeight="14.5" x14ac:dyDescent="0.35"/>
  <cols>
    <col min="1" max="1" width="14.26953125" customWidth="1"/>
    <col min="2" max="2" width="30.7265625" customWidth="1"/>
  </cols>
  <sheetData>
    <row r="1" spans="1:14" ht="18.5" x14ac:dyDescent="0.45">
      <c r="A1" s="14" t="s">
        <v>95</v>
      </c>
      <c r="B1" s="14"/>
      <c r="C1" s="14"/>
      <c r="D1" s="14"/>
      <c r="E1" s="14"/>
      <c r="F1" s="14"/>
      <c r="G1" s="14"/>
      <c r="H1" s="14"/>
      <c r="I1" s="14"/>
      <c r="J1" s="14"/>
      <c r="K1" s="14"/>
      <c r="L1" s="14"/>
      <c r="M1" s="14"/>
      <c r="N1" s="14"/>
    </row>
    <row r="2" spans="1:14" ht="16" x14ac:dyDescent="0.4">
      <c r="A2" s="15" t="s">
        <v>96</v>
      </c>
      <c r="B2" s="15" t="s">
        <v>97</v>
      </c>
    </row>
    <row r="3" spans="1:14" x14ac:dyDescent="0.35">
      <c r="A3" s="16" t="s">
        <v>98</v>
      </c>
      <c r="B3" s="16" t="s">
        <v>104</v>
      </c>
    </row>
    <row r="4" spans="1:14" x14ac:dyDescent="0.35">
      <c r="A4" s="17" t="s">
        <v>100</v>
      </c>
      <c r="B4" s="17" t="s">
        <v>105</v>
      </c>
    </row>
    <row r="5" spans="1:14" x14ac:dyDescent="0.35">
      <c r="A5" s="16" t="s">
        <v>99</v>
      </c>
      <c r="B5" s="16" t="s">
        <v>106</v>
      </c>
    </row>
    <row r="6" spans="1:14" x14ac:dyDescent="0.35">
      <c r="A6" s="17" t="s">
        <v>102</v>
      </c>
      <c r="B6" s="17" t="s">
        <v>107</v>
      </c>
    </row>
    <row r="7" spans="1:14" x14ac:dyDescent="0.35">
      <c r="A7" s="16" t="s">
        <v>101</v>
      </c>
      <c r="B7" s="16" t="s">
        <v>108</v>
      </c>
      <c r="C7" s="10"/>
      <c r="D7" s="10"/>
      <c r="E7" s="10"/>
    </row>
    <row r="8" spans="1:14" x14ac:dyDescent="0.35">
      <c r="A8" s="17" t="s">
        <v>103</v>
      </c>
      <c r="B8" s="17" t="s">
        <v>109</v>
      </c>
    </row>
    <row r="27" spans="25:25" x14ac:dyDescent="0.35">
      <c r="Y27" s="18"/>
    </row>
  </sheetData>
  <mergeCells count="1">
    <mergeCell ref="A1:N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E11B49-16E8-4003-B11E-8CCC72583A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Nigeria_Food_Prices_2025_Data</vt:lpstr>
      <vt:lpstr>Pivot_Tables</vt:lpstr>
      <vt:lpstr>Rolling_Average_Analysis</vt:lpstr>
      <vt:lpstr>Dashboard</vt:lpstr>
      <vt:lpstr>Price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Holy Essien</dc:creator>
  <cp:lastModifiedBy>Holy Essien</cp:lastModifiedBy>
  <dcterms:created xsi:type="dcterms:W3CDTF">2026-05-01T16:53:53Z</dcterms:created>
  <dcterms:modified xsi:type="dcterms:W3CDTF">2026-05-10T21:23:14Z</dcterms:modified>
</cp:coreProperties>
</file>